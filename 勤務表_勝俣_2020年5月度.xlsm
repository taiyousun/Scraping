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5月度\"/>
    </mc:Choice>
  </mc:AlternateContent>
  <bookViews>
    <workbookView xWindow="1080" yWindow="0" windowWidth="19410" windowHeight="7650" tabRatio="753" firstSheet="2" activeTab="3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AC26" i="75"/>
  <c r="AM26" i="75" s="1"/>
  <c r="AE26" i="75"/>
  <c r="AO26" i="75" s="1"/>
  <c r="AD26" i="75"/>
  <c r="AN26" i="75" s="1"/>
  <c r="AD19" i="75"/>
  <c r="AC19" i="75"/>
  <c r="AM19" i="75" s="1"/>
  <c r="AK19" i="75" s="1"/>
  <c r="AE19" i="75"/>
  <c r="AO19" i="75" s="1"/>
  <c r="J43" i="75"/>
  <c r="AI26" i="75"/>
  <c r="AJ26" i="75"/>
  <c r="AI19" i="75"/>
  <c r="AJ19" i="75"/>
  <c r="AN19" i="75"/>
  <c r="AE36" i="75"/>
  <c r="AJ36" i="75"/>
  <c r="AD36" i="75"/>
  <c r="AC36" i="75"/>
  <c r="AI36" i="75"/>
  <c r="AI40" i="75"/>
  <c r="AE40" i="75"/>
  <c r="AD34" i="75"/>
  <c r="AD40" i="75"/>
  <c r="AC34" i="75"/>
  <c r="AC40" i="75"/>
  <c r="AE34" i="75"/>
  <c r="AJ40" i="75"/>
  <c r="AI34" i="75"/>
  <c r="AJ34" i="75"/>
  <c r="AC35" i="75"/>
  <c r="AC25" i="75"/>
  <c r="AD25" i="75"/>
  <c r="AE12" i="75"/>
  <c r="AE35" i="75"/>
  <c r="AJ32" i="75"/>
  <c r="AC33" i="75"/>
  <c r="AD32" i="75"/>
  <c r="AD18" i="75"/>
  <c r="AE33" i="75"/>
  <c r="AI35" i="75"/>
  <c r="AD22" i="75"/>
  <c r="AE18" i="75"/>
  <c r="AI22" i="75"/>
  <c r="AD12" i="75"/>
  <c r="AJ22" i="75"/>
  <c r="AE25" i="75"/>
  <c r="AI12" i="75"/>
  <c r="AJ18" i="75"/>
  <c r="AD33" i="75"/>
  <c r="AI39" i="75"/>
  <c r="AE39" i="75"/>
  <c r="AD35" i="75"/>
  <c r="AJ33" i="75"/>
  <c r="AJ35" i="75"/>
  <c r="AI33" i="75"/>
  <c r="AE32" i="75"/>
  <c r="AC12" i="75"/>
  <c r="AJ12" i="75"/>
  <c r="AC22" i="75"/>
  <c r="AE22" i="75"/>
  <c r="AJ39" i="75"/>
  <c r="AC18" i="75"/>
  <c r="AJ25" i="75"/>
  <c r="AD39" i="75"/>
  <c r="AC32" i="75"/>
  <c r="AI18" i="75"/>
  <c r="AI25" i="75"/>
  <c r="AI32" i="75"/>
  <c r="AC39" i="75"/>
  <c r="AN25" i="75" l="1"/>
  <c r="AM25" i="75"/>
  <c r="AK25" i="75" s="1"/>
  <c r="AO25" i="75"/>
  <c r="AO22" i="75"/>
  <c r="AM22" i="75"/>
  <c r="AK22" i="75" s="1"/>
  <c r="AN22" i="75"/>
  <c r="AN40" i="75"/>
  <c r="AO40" i="75"/>
  <c r="AM40" i="75"/>
  <c r="AL40" i="75" s="1"/>
  <c r="AO39" i="75"/>
  <c r="AN39" i="75"/>
  <c r="AM39" i="75"/>
  <c r="AK39" i="75" s="1"/>
  <c r="AO33" i="75"/>
  <c r="AN33" i="75"/>
  <c r="AM33" i="75"/>
  <c r="AK33" i="75" s="1"/>
  <c r="AO32" i="75"/>
  <c r="AM32" i="75"/>
  <c r="AL32" i="75" s="1"/>
  <c r="AN32" i="75"/>
  <c r="AM18" i="75"/>
  <c r="AL18" i="75" s="1"/>
  <c r="AN18" i="75"/>
  <c r="AO18" i="75"/>
  <c r="AO12" i="75"/>
  <c r="AM12" i="75"/>
  <c r="AK12" i="75" s="1"/>
  <c r="AN12" i="75"/>
  <c r="AL26" i="75"/>
  <c r="AF44" i="75"/>
  <c r="AL19" i="75"/>
  <c r="AK26" i="75"/>
  <c r="AK44" i="75"/>
  <c r="J44" i="75"/>
  <c r="J45" i="75" s="1"/>
  <c r="O43" i="75" s="1"/>
  <c r="AL44" i="75"/>
  <c r="J47" i="75" s="1"/>
  <c r="AI44" i="75"/>
  <c r="J48" i="75"/>
  <c r="AL22" i="75"/>
  <c r="AM44" i="75"/>
  <c r="AO35" i="75"/>
  <c r="AO34" i="75"/>
  <c r="AN35" i="75"/>
  <c r="AM34" i="75"/>
  <c r="AO36" i="75"/>
  <c r="AN34" i="75"/>
  <c r="AN36" i="75"/>
  <c r="AM36" i="75"/>
  <c r="AM35" i="75"/>
  <c r="AK40" i="75"/>
  <c r="AD15" i="75"/>
  <c r="AD16" i="75"/>
  <c r="AE30" i="75"/>
  <c r="AJ37" i="75"/>
  <c r="AD29" i="75"/>
  <c r="AI29" i="75"/>
  <c r="AJ41" i="75"/>
  <c r="AC37" i="75"/>
  <c r="AJ29" i="75"/>
  <c r="AJ15" i="75"/>
  <c r="AC29" i="75"/>
  <c r="AJ16" i="75"/>
  <c r="AE37" i="75"/>
  <c r="AC16" i="75"/>
  <c r="AJ30" i="75"/>
  <c r="AI15" i="75"/>
  <c r="AI37" i="75"/>
  <c r="AE16" i="75"/>
  <c r="AD41" i="75"/>
  <c r="AI41" i="75"/>
  <c r="AI16" i="75"/>
  <c r="AE15" i="75"/>
  <c r="AE29" i="75"/>
  <c r="AI30" i="75"/>
  <c r="AD30" i="75"/>
  <c r="AC41" i="75"/>
  <c r="AC15" i="75"/>
  <c r="AE41" i="75"/>
  <c r="AD37" i="75"/>
  <c r="AC30" i="75"/>
  <c r="AD24" i="75"/>
  <c r="AE24" i="75"/>
  <c r="AC24" i="75"/>
  <c r="AI24" i="75"/>
  <c r="AJ24" i="75"/>
  <c r="AC38" i="75"/>
  <c r="AE38" i="75"/>
  <c r="AI38" i="75"/>
  <c r="AD38" i="75"/>
  <c r="AJ38" i="75"/>
  <c r="AQ40" i="75"/>
  <c r="AP29" i="75"/>
  <c r="AD17" i="75"/>
  <c r="AQ25" i="75"/>
  <c r="AJ13" i="75"/>
  <c r="AJ20" i="75"/>
  <c r="AQ24" i="75"/>
  <c r="AP34" i="75"/>
  <c r="AI27" i="75"/>
  <c r="AJ27" i="75"/>
  <c r="AI20" i="75"/>
  <c r="AQ16" i="75"/>
  <c r="AQ39" i="75"/>
  <c r="AE13" i="75"/>
  <c r="AQ31" i="75"/>
  <c r="AP36" i="75"/>
  <c r="AD11" i="75"/>
  <c r="AJ28" i="75"/>
  <c r="AP37" i="75"/>
  <c r="AQ14" i="75"/>
  <c r="AP26" i="75"/>
  <c r="AQ27" i="75"/>
  <c r="AI17" i="75"/>
  <c r="AE27" i="75"/>
  <c r="AP35" i="75"/>
  <c r="AQ11" i="75"/>
  <c r="AP28" i="75"/>
  <c r="AP31" i="75"/>
  <c r="AI21" i="75"/>
  <c r="AE28" i="75"/>
  <c r="AP41" i="75"/>
  <c r="AE14" i="75"/>
  <c r="AP32" i="75"/>
  <c r="AI28" i="75"/>
  <c r="AC31" i="75"/>
  <c r="AJ31" i="75"/>
  <c r="AD28" i="75"/>
  <c r="AP24" i="75"/>
  <c r="AE31" i="75"/>
  <c r="AP39" i="75"/>
  <c r="AQ32" i="75"/>
  <c r="AQ36" i="75"/>
  <c r="AQ12" i="75"/>
  <c r="AP20" i="75"/>
  <c r="AE21" i="75"/>
  <c r="AP11" i="75"/>
  <c r="AI11" i="75"/>
  <c r="AC21" i="75"/>
  <c r="AP19" i="75"/>
  <c r="AP23" i="75"/>
  <c r="AC13" i="75"/>
  <c r="AQ21" i="75"/>
  <c r="AQ28" i="75"/>
  <c r="AJ17" i="75"/>
  <c r="AQ37" i="75"/>
  <c r="AD20" i="75"/>
  <c r="AP22" i="75"/>
  <c r="AI31" i="75"/>
  <c r="AC20" i="75"/>
  <c r="AD21" i="75"/>
  <c r="AD23" i="75"/>
  <c r="AJ23" i="75"/>
  <c r="AP12" i="75"/>
  <c r="AC28" i="75"/>
  <c r="AQ13" i="75"/>
  <c r="AE11" i="75"/>
  <c r="AP40" i="75"/>
  <c r="AE17" i="75"/>
  <c r="AJ11" i="75"/>
  <c r="AQ34" i="75"/>
  <c r="AI14" i="75"/>
  <c r="AQ33" i="75"/>
  <c r="AC11" i="75"/>
  <c r="AP33" i="75"/>
  <c r="AQ35" i="75"/>
  <c r="AP16" i="75"/>
  <c r="AP13" i="75"/>
  <c r="AQ29" i="75"/>
  <c r="AD31" i="75"/>
  <c r="AP25" i="75"/>
  <c r="AP30" i="75"/>
  <c r="AP38" i="75"/>
  <c r="AJ14" i="75"/>
  <c r="AI23" i="75"/>
  <c r="AD27" i="75"/>
  <c r="AP17" i="75"/>
  <c r="AQ18" i="75"/>
  <c r="AC14" i="75"/>
  <c r="AQ19" i="75"/>
  <c r="AD13" i="75"/>
  <c r="AP15" i="75"/>
  <c r="AQ15" i="75"/>
  <c r="AE20" i="75"/>
  <c r="AP14" i="75"/>
  <c r="AQ38" i="75"/>
  <c r="AE23" i="75"/>
  <c r="AQ22" i="75"/>
  <c r="AC23" i="75"/>
  <c r="AD14" i="75"/>
  <c r="AJ21" i="75"/>
  <c r="AP27" i="75"/>
  <c r="AP18" i="75"/>
  <c r="AQ20" i="75"/>
  <c r="AQ17" i="75"/>
  <c r="AQ26" i="75"/>
  <c r="AQ23" i="75"/>
  <c r="AQ30" i="75"/>
  <c r="AC27" i="75"/>
  <c r="AQ41" i="75"/>
  <c r="AP21" i="75"/>
  <c r="AI13" i="75"/>
  <c r="AC17" i="75"/>
  <c r="AL12" i="75" l="1"/>
  <c r="AK18" i="75"/>
  <c r="AL25" i="75"/>
  <c r="AL39" i="75"/>
  <c r="AL33" i="75"/>
  <c r="AK32" i="75"/>
  <c r="AO14" i="75"/>
  <c r="AM20" i="75"/>
  <c r="AK20" i="75" s="1"/>
  <c r="AM30" i="75"/>
  <c r="AL30" i="75" s="1"/>
  <c r="AN28" i="75"/>
  <c r="AN11" i="75"/>
  <c r="AO20" i="75"/>
  <c r="AN37" i="75"/>
  <c r="AO41" i="75"/>
  <c r="AM15" i="75"/>
  <c r="AK15" i="75" s="1"/>
  <c r="AM13" i="75"/>
  <c r="AK13" i="75" s="1"/>
  <c r="AM41" i="75"/>
  <c r="AL41" i="75" s="1"/>
  <c r="AN30" i="75"/>
  <c r="AN14" i="75"/>
  <c r="AO29" i="75"/>
  <c r="AO15" i="75"/>
  <c r="AM31" i="75"/>
  <c r="AL31" i="75" s="1"/>
  <c r="AM24" i="75"/>
  <c r="AK24" i="75" s="1"/>
  <c r="AN31" i="75"/>
  <c r="AN13" i="75"/>
  <c r="AO38" i="75"/>
  <c r="AN21" i="75"/>
  <c r="AO24" i="75"/>
  <c r="AO17" i="75"/>
  <c r="AN41" i="75"/>
  <c r="AO16" i="75"/>
  <c r="AO27" i="75"/>
  <c r="AO28" i="75"/>
  <c r="AM14" i="75"/>
  <c r="AL14" i="75" s="1"/>
  <c r="AM16" i="75"/>
  <c r="AK16" i="75" s="1"/>
  <c r="AO37" i="75"/>
  <c r="AM23" i="75"/>
  <c r="AK23" i="75" s="1"/>
  <c r="AN17" i="75"/>
  <c r="AM28" i="75"/>
  <c r="AL28" i="75" s="1"/>
  <c r="AM17" i="75"/>
  <c r="AL17" i="75" s="1"/>
  <c r="AM29" i="75"/>
  <c r="AK29" i="75" s="1"/>
  <c r="AN38" i="75"/>
  <c r="AM38" i="75"/>
  <c r="AL38" i="75" s="1"/>
  <c r="AN23" i="75"/>
  <c r="AO13" i="75"/>
  <c r="AO21" i="75"/>
  <c r="AM37" i="75"/>
  <c r="AK37" i="75" s="1"/>
  <c r="AM27" i="75"/>
  <c r="AK27" i="75" s="1"/>
  <c r="AO11" i="75"/>
  <c r="AN27" i="75"/>
  <c r="AM11" i="75"/>
  <c r="AL11" i="75" s="1"/>
  <c r="AO23" i="75"/>
  <c r="AN29" i="75"/>
  <c r="AO31" i="75"/>
  <c r="AN24" i="75"/>
  <c r="AO30" i="75"/>
  <c r="AN16" i="75"/>
  <c r="AM21" i="75"/>
  <c r="AL21" i="75" s="1"/>
  <c r="AN15" i="75"/>
  <c r="AN20" i="75"/>
  <c r="AK35" i="75"/>
  <c r="AL35" i="75"/>
  <c r="AL15" i="75"/>
  <c r="AK36" i="75"/>
  <c r="AL36" i="75"/>
  <c r="AK28" i="75"/>
  <c r="AL34" i="75"/>
  <c r="AK34" i="75"/>
  <c r="AK17" i="75" l="1"/>
  <c r="AK30" i="75"/>
  <c r="AL13" i="75"/>
  <c r="AL23" i="75"/>
  <c r="AL24" i="75"/>
  <c r="AL37" i="75"/>
  <c r="AL16" i="75"/>
  <c r="AK38" i="75"/>
  <c r="AK31" i="75"/>
  <c r="AK21" i="75"/>
  <c r="AL20" i="75"/>
  <c r="AK11" i="75"/>
  <c r="AL29" i="75"/>
  <c r="AL27" i="75"/>
  <c r="O47" i="75"/>
  <c r="O44" i="75"/>
  <c r="AK41" i="75"/>
  <c r="AK14" i="75"/>
  <c r="O46" i="75" l="1"/>
  <c r="O45" i="75"/>
</calcChain>
</file>

<file path=xl/sharedStrings.xml><?xml version="1.0" encoding="utf-8"?>
<sst xmlns="http://schemas.openxmlformats.org/spreadsheetml/2006/main" count="581" uniqueCount="323">
  <si>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</si>
  <si>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</si>
  <si>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</si>
  <si>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</si>
  <si>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</si>
  <si>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</si>
  <si>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</si>
  <si>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</si>
  <si>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</si>
  <si>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</si>
  <si>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</si>
  <si>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</si>
  <si>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</si>
  <si>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</si>
  <si>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</si>
  <si>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</si>
  <si>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</si>
  <si>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</si>
  <si>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</si>
  <si>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</si>
  <si>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</si>
  <si>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</si>
  <si>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</si>
  <si>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</si>
  <si>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</si>
  <si>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</si>
  <si>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</si>
  <si>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</si>
  <si>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</si>
  <si>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</si>
  <si>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</si>
  <si>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</si>
  <si>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</si>
  <si>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</si>
  <si>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</si>
  <si>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</si>
  <si>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</si>
  <si>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</si>
  <si>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</si>
  <si>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</si>
  <si>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</si>
  <si>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</si>
  <si>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</si>
  <si>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</si>
  <si>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</si>
  <si>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</si>
  <si>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</si>
  <si>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</si>
  <si>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</si>
  <si>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</si>
  <si>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</si>
  <si>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</si>
  <si>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</si>
  <si>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</si>
  <si>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</si>
  <si>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</si>
  <si>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</si>
  <si>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</si>
  <si>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</si>
  <si>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</si>
  <si>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</si>
  <si>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</si>
  <si>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</si>
  <si>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</si>
  <si>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</si>
  <si>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</si>
  <si>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</si>
  <si>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</si>
  <si>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</si>
  <si>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</si>
  <si>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</si>
  <si>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</si>
  <si>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</si>
  <si>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</si>
  <si>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</si>
  <si>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</si>
  <si>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</si>
  <si>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</si>
  <si>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</si>
  <si>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</si>
  <si>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</si>
  <si>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</si>
  <si>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</si>
  <si>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</si>
  <si>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</si>
  <si>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</si>
  <si>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</si>
  <si>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</si>
  <si>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</si>
  <si>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</si>
  <si>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</si>
  <si>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</si>
  <si>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</si>
  <si>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</si>
  <si>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</si>
  <si>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</si>
  <si>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</si>
  <si>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</si>
  <si>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</si>
  <si>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</si>
  <si>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</si>
  <si>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</si>
  <si>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</si>
  <si>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</si>
  <si>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</si>
  <si>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</si>
  <si>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</si>
  <si>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</si>
  <si>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</si>
  <si>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</si>
  <si>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</si>
  <si>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</si>
  <si>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</si>
  <si>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</si>
  <si>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</si>
  <si>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</si>
  <si>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</si>
  <si>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</si>
  <si>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</si>
  <si>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</si>
  <si>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</si>
  <si>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</si>
  <si>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</si>
  <si>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</si>
  <si>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</si>
  <si>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</si>
  <si>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</si>
  <si>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</si>
  <si>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</si>
  <si>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</si>
  <si>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</si>
  <si>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</si>
  <si>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</si>
  <si>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</si>
  <si>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</si>
  <si>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</si>
  <si>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</si>
  <si>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</si>
  <si>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</si>
  <si>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</si>
  <si>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</si>
  <si>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</si>
  <si>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</si>
  <si>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</si>
  <si>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</si>
  <si>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</si>
  <si>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</si>
  <si>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</si>
  <si>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</si>
  <si>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</si>
  <si>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</si>
  <si>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</si>
  <si>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</si>
  <si>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</si>
  <si>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</si>
  <si>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</si>
  <si>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</si>
  <si>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</si>
  <si>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</si>
  <si>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</si>
  <si>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</si>
  <si>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</si>
  <si>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</si>
  <si>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</si>
  <si>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</si>
  <si>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</si>
  <si>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</si>
  <si>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</si>
  <si>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</si>
  <si>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</si>
  <si>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</si>
  <si>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</si>
  <si>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</si>
  <si>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</si>
  <si>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</si>
  <si>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</si>
  <si>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</si>
  <si>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</si>
  <si>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</si>
  <si>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</si>
  <si>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</si>
  <si>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</si>
  <si>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</si>
  <si>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</si>
  <si>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</si>
  <si>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</si>
  <si>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</si>
  <si>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</si>
  <si>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</si>
  <si>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</si>
  <si>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</si>
  <si>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</si>
  <si>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</si>
  <si>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</si>
  <si>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</si>
  <si>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</si>
  <si>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</si>
  <si>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</si>
  <si>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</si>
  <si>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</si>
  <si>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</si>
  <si>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</si>
  <si>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</si>
  <si>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</si>
  <si>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</si>
  <si>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</si>
  <si>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</si>
  <si>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</si>
  <si>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</si>
  <si>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</si>
  <si>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</si>
  <si>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</si>
  <si>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</si>
  <si>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</si>
  <si>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</si>
  <si>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</si>
  <si>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</si>
  <si>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</si>
  <si>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</si>
  <si>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</si>
  <si>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</si>
  <si>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</si>
  <si>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</si>
  <si>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</si>
  <si>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</si>
  <si>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</si>
  <si>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</si>
  <si>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</si>
  <si>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</si>
  <si>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</si>
  <si>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</si>
  <si>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</si>
  <si>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</si>
  <si>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</si>
  <si>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</si>
  <si>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</si>
  <si>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</si>
  <si>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</si>
  <si>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</si>
  <si>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</si>
  <si>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</si>
  <si>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</si>
  <si>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</si>
  <si>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</si>
  <si>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</si>
  <si>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</si>
  <si>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</si>
  <si>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</si>
  <si>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</si>
  <si>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</si>
  <si>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</si>
  <si>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</si>
  <si>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</si>
  <si>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</si>
  <si>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</si>
  <si>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</si>
  <si>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</si>
  <si>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</si>
  <si>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</si>
  <si>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</si>
  <si>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</si>
  <si>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</si>
  <si>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</si>
  <si>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</si>
  <si>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</si>
  <si>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</si>
  <si>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</si>
  <si>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</si>
  <si>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S29039-00</t>
  </si>
  <si>
    <t>S29039-00</t>
    <phoneticPr fontId="1"/>
  </si>
  <si>
    <t>各種改善検討</t>
  </si>
  <si>
    <t>各種改善検討</t>
    <phoneticPr fontId="1"/>
  </si>
  <si>
    <t xml:space="preserve"> </t>
  </si>
  <si>
    <t>昭和の日</t>
  </si>
  <si>
    <t>憲法記念日</t>
  </si>
  <si>
    <t>みどりの日</t>
  </si>
  <si>
    <t>こどもの日</t>
  </si>
  <si>
    <t>振替休日</t>
  </si>
  <si>
    <t>OK</t>
  </si>
  <si>
    <t>振休</t>
  </si>
  <si>
    <t>振出</t>
  </si>
  <si>
    <t>２０２０年　５月度　　勤　務　表</t>
    <phoneticPr fontId="1"/>
  </si>
  <si>
    <t>所属：第２システム部</t>
    <phoneticPr fontId="1"/>
  </si>
  <si>
    <t>社員番号：　２３１０５　　</t>
    <phoneticPr fontId="1"/>
  </si>
  <si>
    <t xml:space="preserve"> 9:00</t>
    <phoneticPr fontId="1"/>
  </si>
  <si>
    <t xml:space="preserve"> 8 h 00 m</t>
    <phoneticPr fontId="1"/>
  </si>
  <si>
    <t xml:space="preserve"> </t>
    <phoneticPr fontId="1"/>
  </si>
  <si>
    <t xml:space="preserve"> 9:00</t>
    <phoneticPr fontId="1"/>
  </si>
  <si>
    <t xml:space="preserve"> 9 h 50 m</t>
    <phoneticPr fontId="1"/>
  </si>
  <si>
    <t xml:space="preserve"> </t>
    <phoneticPr fontId="1"/>
  </si>
  <si>
    <t xml:space="preserve"> 9:00</t>
    <phoneticPr fontId="1"/>
  </si>
  <si>
    <t>10 h 00 m</t>
    <phoneticPr fontId="1"/>
  </si>
  <si>
    <t xml:space="preserve"> 9:00</t>
    <phoneticPr fontId="1"/>
  </si>
  <si>
    <t xml:space="preserve"> 9 h 00 m</t>
    <phoneticPr fontId="1"/>
  </si>
  <si>
    <t xml:space="preserve"> </t>
    <phoneticPr fontId="1"/>
  </si>
  <si>
    <t>10 h 00 m</t>
    <phoneticPr fontId="1"/>
  </si>
  <si>
    <t xml:space="preserve"> 9 h 40 m</t>
    <phoneticPr fontId="1"/>
  </si>
  <si>
    <t xml:space="preserve"> </t>
    <phoneticPr fontId="1"/>
  </si>
  <si>
    <t xml:space="preserve"> </t>
    <phoneticPr fontId="1"/>
  </si>
  <si>
    <t>10 h 00 m</t>
    <phoneticPr fontId="1"/>
  </si>
  <si>
    <t xml:space="preserve">  66h 30m</t>
    <phoneticPr fontId="1"/>
  </si>
  <si>
    <t xml:space="preserve">   h   m</t>
    <phoneticPr fontId="1"/>
  </si>
  <si>
    <t xml:space="preserve">  66h 30m</t>
    <phoneticPr fontId="1"/>
  </si>
  <si>
    <t xml:space="preserve"> 9:00</t>
    <phoneticPr fontId="1"/>
  </si>
  <si>
    <t xml:space="preserve"> 9 h 30 m</t>
    <phoneticPr fontId="1"/>
  </si>
  <si>
    <t xml:space="preserve"> 8 h 30 m</t>
    <phoneticPr fontId="1"/>
  </si>
  <si>
    <t xml:space="preserve"> </t>
    <phoneticPr fontId="1"/>
  </si>
  <si>
    <t xml:space="preserve"> 9 h 00 m</t>
    <phoneticPr fontId="1"/>
  </si>
  <si>
    <t xml:space="preserve"> 8 h 00 m</t>
    <phoneticPr fontId="1"/>
  </si>
  <si>
    <t xml:space="preserve"> </t>
    <phoneticPr fontId="1"/>
  </si>
  <si>
    <t xml:space="preserve"> 8 h 30 m</t>
    <phoneticPr fontId="1"/>
  </si>
  <si>
    <t xml:space="preserve"> 6 h 30 m</t>
    <phoneticPr fontId="1"/>
  </si>
  <si>
    <t xml:space="preserve"> 1:30</t>
    <phoneticPr fontId="1"/>
  </si>
  <si>
    <t>12 h 30 m</t>
    <phoneticPr fontId="1"/>
  </si>
  <si>
    <t xml:space="preserve"> 0:00</t>
    <phoneticPr fontId="1"/>
  </si>
  <si>
    <t>12 h 00 m</t>
    <phoneticPr fontId="1"/>
  </si>
  <si>
    <t>11 h 20 m</t>
    <phoneticPr fontId="1"/>
  </si>
  <si>
    <t xml:space="preserve"> 8 h 00 m</t>
    <phoneticPr fontId="1"/>
  </si>
  <si>
    <t xml:space="preserve"> 102h 20m</t>
    <phoneticPr fontId="1"/>
  </si>
  <si>
    <t xml:space="preserve">   h   m</t>
    <phoneticPr fontId="1"/>
  </si>
  <si>
    <t xml:space="preserve"> 102h 20m</t>
    <phoneticPr fontId="1"/>
  </si>
  <si>
    <t xml:space="preserve"> 168h 50m</t>
    <phoneticPr fontId="1"/>
  </si>
  <si>
    <t xml:space="preserve"> 168h 50m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</si>
</sst>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2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31" fillId="0" borderId="0" xfId="0" applyFont="1" applyFill="1" applyBorder="1" applyAlignment="1" applyProtection="1">
      <alignment horizontal="center"/>
      <protection locked="0" hidden="1"/>
    </xf>
    <xf numFmtId="0" fontId="19" fillId="0" borderId="8" xfId="0" applyFont="1" applyFill="1" applyBorder="1" applyAlignment="1" applyProtection="1">
      <alignment horizontal="center" vertical="center"/>
      <protection hidden="1"/>
    </xf>
    <xf numFmtId="184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10" fillId="3" borderId="20" xfId="0" applyFont="1" applyFill="1" applyBorder="1" applyAlignment="1" applyProtection="1">
      <alignment horizont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64"/>
      <c r="Q4" s="170" t="s">
        <v>13</v>
      </c>
      <c r="R4" s="167" t="s">
        <v>14</v>
      </c>
      <c r="S4" s="167" t="s">
        <v>12</v>
      </c>
      <c r="T4" s="167" t="s">
        <v>11</v>
      </c>
      <c r="U4" s="167" t="s">
        <v>15</v>
      </c>
      <c r="V4" s="167" t="s">
        <v>114</v>
      </c>
      <c r="W4" s="167" t="s">
        <v>16</v>
      </c>
      <c r="X4" s="167" t="s">
        <v>17</v>
      </c>
      <c r="Y4" s="167" t="s">
        <v>18</v>
      </c>
      <c r="Z4" s="167" t="s">
        <v>19</v>
      </c>
      <c r="AA4" s="167" t="s">
        <v>39</v>
      </c>
      <c r="AB4" s="167" t="s">
        <v>20</v>
      </c>
      <c r="AC4" s="167" t="s">
        <v>21</v>
      </c>
      <c r="AD4" s="167" t="s">
        <v>22</v>
      </c>
      <c r="AE4" s="167" t="s">
        <v>23</v>
      </c>
      <c r="AF4" s="167" t="s">
        <v>24</v>
      </c>
      <c r="AG4" s="167" t="s">
        <v>99</v>
      </c>
      <c r="AH4" s="167" t="s">
        <v>100</v>
      </c>
      <c r="AI4" s="167" t="s">
        <v>126</v>
      </c>
      <c r="AJ4" s="167" t="s">
        <v>115</v>
      </c>
      <c r="AK4" s="167" t="s">
        <v>116</v>
      </c>
      <c r="AL4" s="167" t="s">
        <v>107</v>
      </c>
      <c r="AM4" s="167" t="s">
        <v>117</v>
      </c>
      <c r="AN4" s="167" t="s">
        <v>118</v>
      </c>
      <c r="AO4" s="173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65"/>
      <c r="Q5" s="171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74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65"/>
      <c r="Q6" s="171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74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65"/>
      <c r="Q7" s="171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74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65"/>
      <c r="Q8" s="171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74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66"/>
      <c r="Q9" s="172"/>
      <c r="R9" s="169"/>
      <c r="S9" s="169"/>
      <c r="T9" s="169"/>
      <c r="U9" s="169"/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169"/>
      <c r="AK9" s="169"/>
      <c r="AL9" s="169"/>
      <c r="AM9" s="169"/>
      <c r="AN9" s="169"/>
      <c r="AO9" s="175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AI4:AI9"/>
    <mergeCell ref="AN4:AN9"/>
    <mergeCell ref="AO4:AO9"/>
    <mergeCell ref="AJ4:AJ9"/>
    <mergeCell ref="AK4:AK9"/>
    <mergeCell ref="AL4:AL9"/>
    <mergeCell ref="AM4:AM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6" t="s">
        <v>232</v>
      </c>
      <c r="B2" s="176" t="s">
        <v>233</v>
      </c>
      <c r="C2" s="178" t="s">
        <v>143</v>
      </c>
      <c r="D2" s="178"/>
      <c r="E2" s="178"/>
      <c r="F2" s="178"/>
      <c r="G2" s="178"/>
      <c r="H2" s="178"/>
      <c r="I2" s="178"/>
      <c r="J2" s="178"/>
      <c r="K2" s="178"/>
      <c r="L2" s="176" t="s">
        <v>144</v>
      </c>
      <c r="M2" s="176" t="s">
        <v>208</v>
      </c>
    </row>
    <row r="3" spans="1:13" ht="49.5">
      <c r="A3" s="177"/>
      <c r="B3" s="177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7"/>
      <c r="M3" s="177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view="pageBreakPreview" zoomScaleSheetLayoutView="100" workbookViewId="0">
      <selection activeCell="A11" sqref="A11:AC41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260" t="s">
        <v>281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200" t="s">
        <v>194</v>
      </c>
      <c r="B3" s="202" t="s">
        <v>195</v>
      </c>
      <c r="C3" s="203"/>
      <c r="D3" s="203"/>
      <c r="E3" s="203"/>
      <c r="F3" s="203"/>
      <c r="G3" s="203"/>
      <c r="H3" s="203"/>
      <c r="I3" s="204"/>
      <c r="J3" s="208" t="s">
        <v>196</v>
      </c>
      <c r="K3" s="209"/>
      <c r="L3" s="209"/>
      <c r="M3" s="210"/>
      <c r="N3" s="214" t="s">
        <v>197</v>
      </c>
      <c r="O3" s="215"/>
      <c r="P3" s="215"/>
      <c r="Q3" s="215"/>
      <c r="R3" s="215"/>
      <c r="S3" s="215"/>
      <c r="T3" s="215"/>
      <c r="U3" s="215"/>
      <c r="V3" s="216"/>
      <c r="W3" s="72"/>
      <c r="X3" s="202" t="s">
        <v>73</v>
      </c>
      <c r="Y3" s="203"/>
      <c r="Z3" s="204"/>
      <c r="AA3" s="202" t="s">
        <v>74</v>
      </c>
      <c r="AB3" s="203"/>
      <c r="AC3" s="261"/>
    </row>
    <row r="4" spans="1:29" s="52" customFormat="1" ht="12">
      <c r="A4" s="201"/>
      <c r="B4" s="205"/>
      <c r="C4" s="206"/>
      <c r="D4" s="206"/>
      <c r="E4" s="206"/>
      <c r="F4" s="206"/>
      <c r="G4" s="206"/>
      <c r="H4" s="206"/>
      <c r="I4" s="207"/>
      <c r="J4" s="211"/>
      <c r="K4" s="212"/>
      <c r="L4" s="212"/>
      <c r="M4" s="213"/>
      <c r="N4" s="217" t="s">
        <v>198</v>
      </c>
      <c r="O4" s="218"/>
      <c r="P4" s="219"/>
      <c r="Q4" s="217" t="s">
        <v>199</v>
      </c>
      <c r="R4" s="218"/>
      <c r="S4" s="219"/>
      <c r="T4" s="217" t="s">
        <v>200</v>
      </c>
      <c r="U4" s="218"/>
      <c r="V4" s="220"/>
      <c r="W4" s="72"/>
      <c r="X4" s="205"/>
      <c r="Y4" s="206"/>
      <c r="Z4" s="207"/>
      <c r="AA4" s="205"/>
      <c r="AB4" s="206"/>
      <c r="AC4" s="262"/>
    </row>
    <row r="5" spans="1:29" s="52" customFormat="1" ht="19.5" customHeight="1">
      <c r="A5" s="153">
        <v>1</v>
      </c>
      <c r="B5" s="254" t="s">
        <v>270</v>
      </c>
      <c r="C5" s="255"/>
      <c r="D5" s="255"/>
      <c r="E5" s="255"/>
      <c r="F5" s="255"/>
      <c r="G5" s="255"/>
      <c r="H5" s="255"/>
      <c r="I5" s="256"/>
      <c r="J5" s="263" t="s">
        <v>268</v>
      </c>
      <c r="K5" s="264"/>
      <c r="L5" s="264"/>
      <c r="M5" s="265"/>
      <c r="N5" s="214" t="s">
        <v>300</v>
      </c>
      <c r="O5" s="215"/>
      <c r="P5" s="266"/>
      <c r="Q5" s="187" t="s">
        <v>318</v>
      </c>
      <c r="R5" s="187"/>
      <c r="S5" s="187"/>
      <c r="T5" s="187" t="s">
        <v>321</v>
      </c>
      <c r="U5" s="187"/>
      <c r="V5" s="188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257"/>
      <c r="C6" s="258"/>
      <c r="D6" s="258"/>
      <c r="E6" s="258"/>
      <c r="F6" s="258"/>
      <c r="G6" s="258"/>
      <c r="H6" s="258"/>
      <c r="I6" s="259"/>
      <c r="J6" s="267"/>
      <c r="K6" s="268"/>
      <c r="L6" s="268"/>
      <c r="M6" s="269"/>
      <c r="N6" s="198" t="s">
        <v>301</v>
      </c>
      <c r="O6" s="198"/>
      <c r="P6" s="198"/>
      <c r="Q6" s="198" t="s">
        <v>319</v>
      </c>
      <c r="R6" s="198"/>
      <c r="S6" s="198"/>
      <c r="T6" s="198" t="s">
        <v>264</v>
      </c>
      <c r="U6" s="198"/>
      <c r="V6" s="199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179" t="s">
        <v>201</v>
      </c>
      <c r="B7" s="180"/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1"/>
      <c r="N7" s="182" t="s">
        <v>302</v>
      </c>
      <c r="O7" s="182"/>
      <c r="P7" s="182"/>
      <c r="Q7" s="182" t="s">
        <v>320</v>
      </c>
      <c r="R7" s="182"/>
      <c r="S7" s="182"/>
      <c r="T7" s="182" t="s">
        <v>322</v>
      </c>
      <c r="U7" s="182"/>
      <c r="V7" s="183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282</v>
      </c>
      <c r="L9" s="91" t="s">
        <v>283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50" t="s">
        <v>6</v>
      </c>
      <c r="D10" s="252"/>
      <c r="E10" s="251" t="s">
        <v>81</v>
      </c>
      <c r="F10" s="251"/>
      <c r="G10" s="252"/>
      <c r="H10" s="250" t="s">
        <v>82</v>
      </c>
      <c r="I10" s="251"/>
      <c r="J10" s="252"/>
      <c r="K10" s="250" t="s">
        <v>7</v>
      </c>
      <c r="L10" s="251"/>
      <c r="M10" s="251"/>
      <c r="N10" s="252"/>
      <c r="O10" s="250" t="s">
        <v>69</v>
      </c>
      <c r="P10" s="251"/>
      <c r="Q10" s="252"/>
      <c r="R10" s="94" t="s">
        <v>83</v>
      </c>
      <c r="S10" s="250" t="s">
        <v>84</v>
      </c>
      <c r="T10" s="251"/>
      <c r="U10" s="251"/>
      <c r="V10" s="251"/>
      <c r="W10" s="251"/>
      <c r="X10" s="251"/>
      <c r="Y10" s="251"/>
      <c r="Z10" s="251"/>
      <c r="AA10" s="252"/>
      <c r="AB10" s="250" t="s">
        <v>85</v>
      </c>
      <c r="AC10" s="253"/>
    </row>
    <row r="11" spans="1:29" s="52" customFormat="1" ht="19.5" customHeight="1">
      <c r="A11" s="95">
        <v>21</v>
      </c>
      <c r="B11" s="96">
        <v>4</v>
      </c>
      <c r="C11" s="245"/>
      <c r="D11" s="246"/>
      <c r="E11" s="247" t="s">
        <v>284</v>
      </c>
      <c r="F11" s="247"/>
      <c r="G11" s="248"/>
      <c r="H11" s="249">
        <v>0.77083333333333337</v>
      </c>
      <c r="I11" s="226"/>
      <c r="J11" s="227"/>
      <c r="K11" s="228" t="s">
        <v>92</v>
      </c>
      <c r="L11" s="229"/>
      <c r="M11" s="229"/>
      <c r="N11" s="230"/>
      <c r="O11" s="225" t="s">
        <v>285</v>
      </c>
      <c r="P11" s="226"/>
      <c r="Q11" s="227"/>
      <c r="R11" s="97">
        <v>1</v>
      </c>
      <c r="S11" s="98" t="s">
        <v>286</v>
      </c>
      <c r="T11" s="162"/>
      <c r="U11" s="162"/>
      <c r="V11" s="162"/>
      <c r="W11" s="162"/>
      <c r="X11" s="162"/>
      <c r="Y11" s="162"/>
      <c r="Z11" s="162"/>
      <c r="AA11" s="162"/>
      <c r="AB11" s="233"/>
      <c r="AC11" s="234"/>
    </row>
    <row r="12" spans="1:29" s="52" customFormat="1" ht="19.5" customHeight="1">
      <c r="A12" s="95">
        <v>22</v>
      </c>
      <c r="B12" s="96">
        <v>5</v>
      </c>
      <c r="C12" s="245"/>
      <c r="D12" s="246"/>
      <c r="E12" s="247" t="s">
        <v>287</v>
      </c>
      <c r="F12" s="247"/>
      <c r="G12" s="248"/>
      <c r="H12" s="249">
        <v>0.84722222222222221</v>
      </c>
      <c r="I12" s="226"/>
      <c r="J12" s="227"/>
      <c r="K12" s="228" t="s">
        <v>92</v>
      </c>
      <c r="L12" s="229"/>
      <c r="M12" s="229"/>
      <c r="N12" s="230"/>
      <c r="O12" s="225" t="s">
        <v>288</v>
      </c>
      <c r="P12" s="226"/>
      <c r="Q12" s="227"/>
      <c r="R12" s="97">
        <v>1</v>
      </c>
      <c r="S12" s="98" t="s">
        <v>289</v>
      </c>
      <c r="T12" s="162"/>
      <c r="U12" s="162"/>
      <c r="V12" s="162"/>
      <c r="W12" s="162"/>
      <c r="X12" s="162"/>
      <c r="Y12" s="162"/>
      <c r="Z12" s="162"/>
      <c r="AA12" s="162"/>
      <c r="AB12" s="233"/>
      <c r="AC12" s="234"/>
    </row>
    <row r="13" spans="1:29" s="52" customFormat="1" ht="19.5" customHeight="1">
      <c r="A13" s="95">
        <v>23</v>
      </c>
      <c r="B13" s="96">
        <v>6</v>
      </c>
      <c r="C13" s="245"/>
      <c r="D13" s="246"/>
      <c r="E13" s="247" t="s">
        <v>290</v>
      </c>
      <c r="F13" s="247"/>
      <c r="G13" s="248"/>
      <c r="H13" s="249">
        <v>0.85416666666666663</v>
      </c>
      <c r="I13" s="226"/>
      <c r="J13" s="227"/>
      <c r="K13" s="228" t="s">
        <v>92</v>
      </c>
      <c r="L13" s="229"/>
      <c r="M13" s="229"/>
      <c r="N13" s="230"/>
      <c r="O13" s="225" t="s">
        <v>291</v>
      </c>
      <c r="P13" s="226"/>
      <c r="Q13" s="227"/>
      <c r="R13" s="97">
        <v>1</v>
      </c>
      <c r="S13" s="98" t="s">
        <v>286</v>
      </c>
      <c r="T13" s="162"/>
      <c r="U13" s="162"/>
      <c r="V13" s="162"/>
      <c r="W13" s="162"/>
      <c r="X13" s="162"/>
      <c r="Y13" s="162"/>
      <c r="Z13" s="162"/>
      <c r="AA13" s="162"/>
      <c r="AB13" s="233"/>
      <c r="AC13" s="234"/>
    </row>
    <row r="14" spans="1:29" s="52" customFormat="1" ht="19.5" customHeight="1">
      <c r="A14" s="95">
        <v>24</v>
      </c>
      <c r="B14" s="96">
        <v>7</v>
      </c>
      <c r="C14" s="245"/>
      <c r="D14" s="246"/>
      <c r="E14" s="247" t="s">
        <v>292</v>
      </c>
      <c r="F14" s="247"/>
      <c r="G14" s="248"/>
      <c r="H14" s="249">
        <v>0.8125</v>
      </c>
      <c r="I14" s="226"/>
      <c r="J14" s="227"/>
      <c r="K14" s="228" t="s">
        <v>92</v>
      </c>
      <c r="L14" s="229"/>
      <c r="M14" s="229"/>
      <c r="N14" s="230"/>
      <c r="O14" s="225" t="s">
        <v>293</v>
      </c>
      <c r="P14" s="226"/>
      <c r="Q14" s="227"/>
      <c r="R14" s="97">
        <v>1</v>
      </c>
      <c r="S14" s="98" t="s">
        <v>286</v>
      </c>
      <c r="T14" s="162"/>
      <c r="U14" s="162"/>
      <c r="V14" s="162"/>
      <c r="W14" s="162"/>
      <c r="X14" s="162"/>
      <c r="Y14" s="162"/>
      <c r="Z14" s="162"/>
      <c r="AA14" s="162"/>
      <c r="AB14" s="233"/>
      <c r="AC14" s="234"/>
    </row>
    <row r="15" spans="1:29" s="52" customFormat="1" ht="19.5" customHeight="1">
      <c r="A15" s="134">
        <v>25</v>
      </c>
      <c r="B15" s="135">
        <v>8</v>
      </c>
      <c r="C15" s="245"/>
      <c r="D15" s="246"/>
      <c r="E15" s="247" t="s">
        <v>93</v>
      </c>
      <c r="F15" s="247"/>
      <c r="G15" s="248"/>
      <c r="H15" s="249" t="s">
        <v>93</v>
      </c>
      <c r="I15" s="226"/>
      <c r="J15" s="227"/>
      <c r="K15" s="228" t="s">
        <v>92</v>
      </c>
      <c r="L15" s="229"/>
      <c r="M15" s="229"/>
      <c r="N15" s="230"/>
      <c r="O15" s="225" t="s">
        <v>86</v>
      </c>
      <c r="P15" s="226"/>
      <c r="Q15" s="227"/>
      <c r="R15" s="97"/>
      <c r="S15" s="98" t="s">
        <v>286</v>
      </c>
      <c r="T15" s="162"/>
      <c r="U15" s="162"/>
      <c r="V15" s="162"/>
      <c r="W15" s="162"/>
      <c r="X15" s="162"/>
      <c r="Y15" s="162"/>
      <c r="Z15" s="162"/>
      <c r="AA15" s="162"/>
      <c r="AB15" s="233"/>
      <c r="AC15" s="234"/>
    </row>
    <row r="16" spans="1:29" s="52" customFormat="1" ht="19.5" customHeight="1">
      <c r="A16" s="134">
        <v>26</v>
      </c>
      <c r="B16" s="135">
        <v>2</v>
      </c>
      <c r="C16" s="245"/>
      <c r="D16" s="246"/>
      <c r="E16" s="247" t="s">
        <v>93</v>
      </c>
      <c r="F16" s="247"/>
      <c r="G16" s="248"/>
      <c r="H16" s="249" t="s">
        <v>93</v>
      </c>
      <c r="I16" s="226"/>
      <c r="J16" s="227"/>
      <c r="K16" s="228" t="s">
        <v>92</v>
      </c>
      <c r="L16" s="229"/>
      <c r="M16" s="229"/>
      <c r="N16" s="230"/>
      <c r="O16" s="225" t="s">
        <v>86</v>
      </c>
      <c r="P16" s="226"/>
      <c r="Q16" s="227"/>
      <c r="R16" s="97"/>
      <c r="S16" s="98" t="s">
        <v>294</v>
      </c>
      <c r="T16" s="162"/>
      <c r="U16" s="162"/>
      <c r="V16" s="162"/>
      <c r="W16" s="162"/>
      <c r="X16" s="162"/>
      <c r="Y16" s="162"/>
      <c r="Z16" s="162"/>
      <c r="AA16" s="162"/>
      <c r="AB16" s="233"/>
      <c r="AC16" s="234"/>
    </row>
    <row r="17" spans="1:29" s="52" customFormat="1" ht="19.5" customHeight="1">
      <c r="A17" s="95">
        <v>27</v>
      </c>
      <c r="B17" s="96">
        <v>3</v>
      </c>
      <c r="C17" s="245"/>
      <c r="D17" s="246"/>
      <c r="E17" s="247" t="s">
        <v>290</v>
      </c>
      <c r="F17" s="247"/>
      <c r="G17" s="248"/>
      <c r="H17" s="249">
        <v>0.85416666666666663</v>
      </c>
      <c r="I17" s="226"/>
      <c r="J17" s="227"/>
      <c r="K17" s="228" t="s">
        <v>92</v>
      </c>
      <c r="L17" s="229"/>
      <c r="M17" s="229"/>
      <c r="N17" s="230"/>
      <c r="O17" s="225" t="s">
        <v>295</v>
      </c>
      <c r="P17" s="226"/>
      <c r="Q17" s="227"/>
      <c r="R17" s="97">
        <v>1</v>
      </c>
      <c r="S17" s="98" t="s">
        <v>286</v>
      </c>
      <c r="T17" s="162"/>
      <c r="U17" s="162"/>
      <c r="V17" s="162"/>
      <c r="W17" s="162"/>
      <c r="X17" s="162"/>
      <c r="Y17" s="162"/>
      <c r="Z17" s="162"/>
      <c r="AA17" s="162"/>
      <c r="AB17" s="233"/>
      <c r="AC17" s="234"/>
    </row>
    <row r="18" spans="1:29" s="52" customFormat="1" ht="19.5" customHeight="1">
      <c r="A18" s="95">
        <v>28</v>
      </c>
      <c r="B18" s="96">
        <v>4</v>
      </c>
      <c r="C18" s="245"/>
      <c r="D18" s="246"/>
      <c r="E18" s="247" t="s">
        <v>290</v>
      </c>
      <c r="F18" s="247"/>
      <c r="G18" s="248"/>
      <c r="H18" s="249">
        <v>0.84027777777777779</v>
      </c>
      <c r="I18" s="226"/>
      <c r="J18" s="227"/>
      <c r="K18" s="228" t="s">
        <v>92</v>
      </c>
      <c r="L18" s="229"/>
      <c r="M18" s="229"/>
      <c r="N18" s="230"/>
      <c r="O18" s="225" t="s">
        <v>296</v>
      </c>
      <c r="P18" s="226"/>
      <c r="Q18" s="227"/>
      <c r="R18" s="97">
        <v>1</v>
      </c>
      <c r="S18" s="98" t="s">
        <v>297</v>
      </c>
      <c r="T18" s="162"/>
      <c r="U18" s="162"/>
      <c r="V18" s="162"/>
      <c r="W18" s="162"/>
      <c r="X18" s="162"/>
      <c r="Y18" s="162"/>
      <c r="Z18" s="162"/>
      <c r="AA18" s="162"/>
      <c r="AB18" s="233"/>
      <c r="AC18" s="234"/>
    </row>
    <row r="19" spans="1:29" s="52" customFormat="1" ht="19.5" customHeight="1">
      <c r="A19" s="134">
        <v>29</v>
      </c>
      <c r="B19" s="135">
        <v>5</v>
      </c>
      <c r="C19" s="245"/>
      <c r="D19" s="246"/>
      <c r="E19" s="247" t="s">
        <v>93</v>
      </c>
      <c r="F19" s="247"/>
      <c r="G19" s="248"/>
      <c r="H19" s="249" t="s">
        <v>93</v>
      </c>
      <c r="I19" s="226"/>
      <c r="J19" s="227"/>
      <c r="K19" s="228" t="s">
        <v>92</v>
      </c>
      <c r="L19" s="229"/>
      <c r="M19" s="229"/>
      <c r="N19" s="230"/>
      <c r="O19" s="225" t="s">
        <v>86</v>
      </c>
      <c r="P19" s="226"/>
      <c r="Q19" s="227"/>
      <c r="R19" s="97"/>
      <c r="S19" s="98" t="s">
        <v>298</v>
      </c>
      <c r="T19" s="162"/>
      <c r="U19" s="162"/>
      <c r="V19" s="162"/>
      <c r="W19" s="162"/>
      <c r="X19" s="162"/>
      <c r="Y19" s="162"/>
      <c r="Z19" s="162"/>
      <c r="AA19" s="162"/>
      <c r="AB19" s="233"/>
      <c r="AC19" s="234"/>
    </row>
    <row r="20" spans="1:29" s="52" customFormat="1" ht="19.5" customHeight="1">
      <c r="A20" s="95">
        <v>30</v>
      </c>
      <c r="B20" s="96">
        <v>6</v>
      </c>
      <c r="C20" s="245"/>
      <c r="D20" s="246"/>
      <c r="E20" s="247" t="s">
        <v>290</v>
      </c>
      <c r="F20" s="247"/>
      <c r="G20" s="248"/>
      <c r="H20" s="249">
        <v>0.85416666666666663</v>
      </c>
      <c r="I20" s="226"/>
      <c r="J20" s="227"/>
      <c r="K20" s="228" t="s">
        <v>92</v>
      </c>
      <c r="L20" s="229"/>
      <c r="M20" s="229"/>
      <c r="N20" s="230"/>
      <c r="O20" s="225" t="s">
        <v>299</v>
      </c>
      <c r="P20" s="226"/>
      <c r="Q20" s="227"/>
      <c r="R20" s="97">
        <v>1</v>
      </c>
      <c r="S20" s="98" t="s">
        <v>286</v>
      </c>
      <c r="T20" s="162"/>
      <c r="U20" s="162"/>
      <c r="V20" s="162"/>
      <c r="W20" s="162"/>
      <c r="X20" s="162"/>
      <c r="Y20" s="162"/>
      <c r="Z20" s="162"/>
      <c r="AA20" s="162"/>
      <c r="AB20" s="233"/>
      <c r="AC20" s="234"/>
    </row>
    <row r="21" spans="1:29" s="52" customFormat="1" ht="19.5" customHeight="1">
      <c r="A21" s="95" t="s">
        <v>106</v>
      </c>
      <c r="B21" s="96" t="s">
        <v>106</v>
      </c>
      <c r="C21" s="245"/>
      <c r="D21" s="246"/>
      <c r="E21" s="247" t="s">
        <v>93</v>
      </c>
      <c r="F21" s="247"/>
      <c r="G21" s="248"/>
      <c r="H21" s="249" t="s">
        <v>93</v>
      </c>
      <c r="I21" s="226"/>
      <c r="J21" s="227"/>
      <c r="K21" s="228" t="s">
        <v>92</v>
      </c>
      <c r="L21" s="229"/>
      <c r="M21" s="229"/>
      <c r="N21" s="230"/>
      <c r="O21" s="225" t="s">
        <v>86</v>
      </c>
      <c r="P21" s="226"/>
      <c r="Q21" s="227"/>
      <c r="R21" s="97"/>
      <c r="S21" s="98" t="s">
        <v>272</v>
      </c>
      <c r="T21" s="162"/>
      <c r="U21" s="162"/>
      <c r="V21" s="162"/>
      <c r="W21" s="162"/>
      <c r="X21" s="162"/>
      <c r="Y21" s="162"/>
      <c r="Z21" s="162"/>
      <c r="AA21" s="162"/>
      <c r="AB21" s="233"/>
      <c r="AC21" s="234"/>
    </row>
    <row r="22" spans="1:29" s="52" customFormat="1" ht="19.5" customHeight="1">
      <c r="A22" s="95">
        <v>1</v>
      </c>
      <c r="B22" s="96">
        <v>7</v>
      </c>
      <c r="C22" s="245"/>
      <c r="D22" s="246"/>
      <c r="E22" s="247" t="s">
        <v>290</v>
      </c>
      <c r="F22" s="247"/>
      <c r="G22" s="248"/>
      <c r="H22" s="249">
        <v>0.75</v>
      </c>
      <c r="I22" s="226"/>
      <c r="J22" s="227"/>
      <c r="K22" s="228" t="s">
        <v>92</v>
      </c>
      <c r="L22" s="229"/>
      <c r="M22" s="229"/>
      <c r="N22" s="230"/>
      <c r="O22" s="225" t="s">
        <v>317</v>
      </c>
      <c r="P22" s="226"/>
      <c r="Q22" s="227"/>
      <c r="R22" s="97">
        <v>1</v>
      </c>
      <c r="S22" s="98" t="s">
        <v>286</v>
      </c>
      <c r="T22" s="162"/>
      <c r="U22" s="162"/>
      <c r="V22" s="162"/>
      <c r="W22" s="162"/>
      <c r="X22" s="162"/>
      <c r="Y22" s="162"/>
      <c r="Z22" s="162"/>
      <c r="AA22" s="162"/>
      <c r="AB22" s="233"/>
      <c r="AC22" s="234"/>
    </row>
    <row r="23" spans="1:29" s="52" customFormat="1" ht="19.5" customHeight="1">
      <c r="A23" s="134">
        <v>2</v>
      </c>
      <c r="B23" s="135">
        <v>8</v>
      </c>
      <c r="C23" s="245" t="s">
        <v>280</v>
      </c>
      <c r="D23" s="246"/>
      <c r="E23" s="247">
        <v>0.41666666666666669</v>
      </c>
      <c r="F23" s="247"/>
      <c r="G23" s="248"/>
      <c r="H23" s="249">
        <v>0.97222222222222221</v>
      </c>
      <c r="I23" s="226"/>
      <c r="J23" s="227"/>
      <c r="K23" s="228" t="s">
        <v>92</v>
      </c>
      <c r="L23" s="229"/>
      <c r="M23" s="229"/>
      <c r="N23" s="230"/>
      <c r="O23" s="225" t="s">
        <v>316</v>
      </c>
      <c r="P23" s="226"/>
      <c r="Q23" s="227"/>
      <c r="R23" s="97">
        <v>1</v>
      </c>
      <c r="S23" s="98" t="s">
        <v>298</v>
      </c>
      <c r="T23" s="162"/>
      <c r="U23" s="162"/>
      <c r="V23" s="162"/>
      <c r="W23" s="162"/>
      <c r="X23" s="162"/>
      <c r="Y23" s="162"/>
      <c r="Z23" s="162"/>
      <c r="AA23" s="162"/>
      <c r="AB23" s="233"/>
      <c r="AC23" s="234"/>
    </row>
    <row r="24" spans="1:29" s="52" customFormat="1" ht="19.5" customHeight="1">
      <c r="A24" s="134">
        <v>3</v>
      </c>
      <c r="B24" s="135">
        <v>2</v>
      </c>
      <c r="C24" s="245" t="s">
        <v>280</v>
      </c>
      <c r="D24" s="246"/>
      <c r="E24" s="247">
        <v>0.41666666666666669</v>
      </c>
      <c r="F24" s="247"/>
      <c r="G24" s="248"/>
      <c r="H24" s="249" t="s">
        <v>314</v>
      </c>
      <c r="I24" s="226"/>
      <c r="J24" s="227"/>
      <c r="K24" s="228" t="s">
        <v>92</v>
      </c>
      <c r="L24" s="229"/>
      <c r="M24" s="229"/>
      <c r="N24" s="230"/>
      <c r="O24" s="225" t="s">
        <v>315</v>
      </c>
      <c r="P24" s="226"/>
      <c r="Q24" s="227"/>
      <c r="R24" s="97">
        <v>1</v>
      </c>
      <c r="S24" s="98" t="s">
        <v>286</v>
      </c>
      <c r="T24" s="162"/>
      <c r="U24" s="162"/>
      <c r="V24" s="162"/>
      <c r="W24" s="162"/>
      <c r="X24" s="162"/>
      <c r="Y24" s="162"/>
      <c r="Z24" s="162"/>
      <c r="AA24" s="162"/>
      <c r="AB24" s="233"/>
      <c r="AC24" s="234"/>
    </row>
    <row r="25" spans="1:29" s="52" customFormat="1" ht="19.5" customHeight="1">
      <c r="A25" s="134">
        <v>4</v>
      </c>
      <c r="B25" s="135">
        <v>3</v>
      </c>
      <c r="C25" s="245"/>
      <c r="D25" s="246"/>
      <c r="E25" s="247" t="s">
        <v>93</v>
      </c>
      <c r="F25" s="247"/>
      <c r="G25" s="248"/>
      <c r="H25" s="249" t="s">
        <v>93</v>
      </c>
      <c r="I25" s="226"/>
      <c r="J25" s="227"/>
      <c r="K25" s="228" t="s">
        <v>92</v>
      </c>
      <c r="L25" s="229"/>
      <c r="M25" s="229"/>
      <c r="N25" s="230"/>
      <c r="O25" s="225" t="s">
        <v>86</v>
      </c>
      <c r="P25" s="226"/>
      <c r="Q25" s="227"/>
      <c r="R25" s="97"/>
      <c r="S25" s="98" t="s">
        <v>298</v>
      </c>
      <c r="T25" s="162"/>
      <c r="U25" s="162"/>
      <c r="V25" s="162"/>
      <c r="W25" s="162"/>
      <c r="X25" s="162"/>
      <c r="Y25" s="162"/>
      <c r="Z25" s="162"/>
      <c r="AA25" s="162"/>
      <c r="AB25" s="233"/>
      <c r="AC25" s="234"/>
    </row>
    <row r="26" spans="1:29" s="52" customFormat="1" ht="19.5" customHeight="1">
      <c r="A26" s="134">
        <v>5</v>
      </c>
      <c r="B26" s="135">
        <v>4</v>
      </c>
      <c r="C26" s="245" t="s">
        <v>280</v>
      </c>
      <c r="D26" s="246"/>
      <c r="E26" s="247">
        <v>0.4375</v>
      </c>
      <c r="F26" s="247"/>
      <c r="G26" s="248"/>
      <c r="H26" s="249" t="s">
        <v>312</v>
      </c>
      <c r="I26" s="226"/>
      <c r="J26" s="227"/>
      <c r="K26" s="228" t="s">
        <v>92</v>
      </c>
      <c r="L26" s="229"/>
      <c r="M26" s="229"/>
      <c r="N26" s="230"/>
      <c r="O26" s="225" t="s">
        <v>313</v>
      </c>
      <c r="P26" s="226"/>
      <c r="Q26" s="227"/>
      <c r="R26" s="97">
        <v>1</v>
      </c>
      <c r="S26" s="98" t="s">
        <v>286</v>
      </c>
      <c r="T26" s="162"/>
      <c r="U26" s="162"/>
      <c r="V26" s="162"/>
      <c r="W26" s="162"/>
      <c r="X26" s="162"/>
      <c r="Y26" s="162"/>
      <c r="Z26" s="162"/>
      <c r="AA26" s="162"/>
      <c r="AB26" s="233"/>
      <c r="AC26" s="234"/>
    </row>
    <row r="27" spans="1:29" s="52" customFormat="1" ht="19.5" customHeight="1">
      <c r="A27" s="134">
        <v>6</v>
      </c>
      <c r="B27" s="135">
        <v>5</v>
      </c>
      <c r="C27" s="245"/>
      <c r="D27" s="246"/>
      <c r="E27" s="247" t="s">
        <v>93</v>
      </c>
      <c r="F27" s="247"/>
      <c r="G27" s="248"/>
      <c r="H27" s="249" t="s">
        <v>93</v>
      </c>
      <c r="I27" s="226"/>
      <c r="J27" s="227"/>
      <c r="K27" s="228" t="s">
        <v>92</v>
      </c>
      <c r="L27" s="229"/>
      <c r="M27" s="229"/>
      <c r="N27" s="230"/>
      <c r="O27" s="225" t="s">
        <v>86</v>
      </c>
      <c r="P27" s="226"/>
      <c r="Q27" s="227"/>
      <c r="R27" s="97"/>
      <c r="S27" s="98" t="s">
        <v>286</v>
      </c>
      <c r="T27" s="162"/>
      <c r="U27" s="162"/>
      <c r="V27" s="162"/>
      <c r="W27" s="162"/>
      <c r="X27" s="162"/>
      <c r="Y27" s="162"/>
      <c r="Z27" s="162"/>
      <c r="AA27" s="162"/>
      <c r="AB27" s="233"/>
      <c r="AC27" s="234"/>
    </row>
    <row r="28" spans="1:29" s="52" customFormat="1" ht="19.5" customHeight="1">
      <c r="A28" s="95">
        <v>7</v>
      </c>
      <c r="B28" s="96">
        <v>6</v>
      </c>
      <c r="C28" s="245"/>
      <c r="D28" s="246"/>
      <c r="E28" s="247">
        <v>0.4375</v>
      </c>
      <c r="F28" s="247"/>
      <c r="G28" s="248"/>
      <c r="H28" s="249">
        <v>0.77083333333333337</v>
      </c>
      <c r="I28" s="226"/>
      <c r="J28" s="227"/>
      <c r="K28" s="228" t="s">
        <v>92</v>
      </c>
      <c r="L28" s="229"/>
      <c r="M28" s="229"/>
      <c r="N28" s="230"/>
      <c r="O28" s="225" t="s">
        <v>311</v>
      </c>
      <c r="P28" s="226"/>
      <c r="Q28" s="227"/>
      <c r="R28" s="97">
        <v>1</v>
      </c>
      <c r="S28" s="98" t="s">
        <v>297</v>
      </c>
      <c r="T28" s="162"/>
      <c r="U28" s="162"/>
      <c r="V28" s="162"/>
      <c r="W28" s="162"/>
      <c r="X28" s="162"/>
      <c r="Y28" s="162"/>
      <c r="Z28" s="162"/>
      <c r="AA28" s="162"/>
      <c r="AB28" s="233"/>
      <c r="AC28" s="234"/>
    </row>
    <row r="29" spans="1:29" s="52" customFormat="1" ht="19.5" customHeight="1">
      <c r="A29" s="95">
        <v>8</v>
      </c>
      <c r="B29" s="96">
        <v>7</v>
      </c>
      <c r="C29" s="245"/>
      <c r="D29" s="246"/>
      <c r="E29" s="247" t="s">
        <v>290</v>
      </c>
      <c r="F29" s="247"/>
      <c r="G29" s="248"/>
      <c r="H29" s="249">
        <v>0.79166666666666663</v>
      </c>
      <c r="I29" s="226"/>
      <c r="J29" s="227"/>
      <c r="K29" s="228" t="s">
        <v>92</v>
      </c>
      <c r="L29" s="229"/>
      <c r="M29" s="229"/>
      <c r="N29" s="230"/>
      <c r="O29" s="225" t="s">
        <v>310</v>
      </c>
      <c r="P29" s="226"/>
      <c r="Q29" s="227"/>
      <c r="R29" s="97">
        <v>1</v>
      </c>
      <c r="S29" s="98" t="s">
        <v>298</v>
      </c>
      <c r="T29" s="162"/>
      <c r="U29" s="162"/>
      <c r="V29" s="162"/>
      <c r="W29" s="162"/>
      <c r="X29" s="162"/>
      <c r="Y29" s="162"/>
      <c r="Z29" s="162"/>
      <c r="AA29" s="162"/>
      <c r="AB29" s="233"/>
      <c r="AC29" s="234"/>
    </row>
    <row r="30" spans="1:29" s="52" customFormat="1" ht="19.5" customHeight="1">
      <c r="A30" s="134">
        <v>9</v>
      </c>
      <c r="B30" s="135">
        <v>8</v>
      </c>
      <c r="C30" s="245"/>
      <c r="D30" s="246"/>
      <c r="E30" s="247" t="s">
        <v>93</v>
      </c>
      <c r="F30" s="247"/>
      <c r="G30" s="248"/>
      <c r="H30" s="249" t="s">
        <v>93</v>
      </c>
      <c r="I30" s="226"/>
      <c r="J30" s="227"/>
      <c r="K30" s="228" t="s">
        <v>92</v>
      </c>
      <c r="L30" s="229"/>
      <c r="M30" s="229"/>
      <c r="N30" s="230"/>
      <c r="O30" s="225" t="s">
        <v>86</v>
      </c>
      <c r="P30" s="226"/>
      <c r="Q30" s="227"/>
      <c r="R30" s="97"/>
      <c r="S30" s="98" t="s">
        <v>298</v>
      </c>
      <c r="T30" s="162"/>
      <c r="U30" s="162"/>
      <c r="V30" s="162"/>
      <c r="W30" s="162"/>
      <c r="X30" s="162"/>
      <c r="Y30" s="162"/>
      <c r="Z30" s="162"/>
      <c r="AA30" s="162"/>
      <c r="AB30" s="233"/>
      <c r="AC30" s="234"/>
    </row>
    <row r="31" spans="1:29" s="52" customFormat="1" ht="19.5" customHeight="1">
      <c r="A31" s="134">
        <v>10</v>
      </c>
      <c r="B31" s="135">
        <v>2</v>
      </c>
      <c r="C31" s="245"/>
      <c r="D31" s="246"/>
      <c r="E31" s="247" t="s">
        <v>93</v>
      </c>
      <c r="F31" s="247"/>
      <c r="G31" s="248"/>
      <c r="H31" s="249" t="s">
        <v>93</v>
      </c>
      <c r="I31" s="226"/>
      <c r="J31" s="227"/>
      <c r="K31" s="228" t="s">
        <v>92</v>
      </c>
      <c r="L31" s="229"/>
      <c r="M31" s="229"/>
      <c r="N31" s="230"/>
      <c r="O31" s="225" t="s">
        <v>86</v>
      </c>
      <c r="P31" s="226"/>
      <c r="Q31" s="227"/>
      <c r="R31" s="97"/>
      <c r="S31" s="98" t="s">
        <v>309</v>
      </c>
      <c r="T31" s="162"/>
      <c r="U31" s="162"/>
      <c r="V31" s="162"/>
      <c r="W31" s="162"/>
      <c r="X31" s="162"/>
      <c r="Y31" s="162"/>
      <c r="Z31" s="162"/>
      <c r="AA31" s="162"/>
      <c r="AB31" s="233"/>
      <c r="AC31" s="234"/>
    </row>
    <row r="32" spans="1:29" s="52" customFormat="1" ht="19.5" customHeight="1">
      <c r="A32" s="95">
        <v>11</v>
      </c>
      <c r="B32" s="96">
        <v>3</v>
      </c>
      <c r="C32" s="245"/>
      <c r="D32" s="246"/>
      <c r="E32" s="247">
        <v>0.41666666666666669</v>
      </c>
      <c r="F32" s="247"/>
      <c r="G32" s="248"/>
      <c r="H32" s="249">
        <v>0.8125</v>
      </c>
      <c r="I32" s="226"/>
      <c r="J32" s="227"/>
      <c r="K32" s="228" t="s">
        <v>92</v>
      </c>
      <c r="L32" s="229"/>
      <c r="M32" s="229"/>
      <c r="N32" s="230"/>
      <c r="O32" s="225" t="s">
        <v>308</v>
      </c>
      <c r="P32" s="226"/>
      <c r="Q32" s="227"/>
      <c r="R32" s="97">
        <v>1</v>
      </c>
      <c r="S32" s="98" t="s">
        <v>294</v>
      </c>
      <c r="T32" s="162"/>
      <c r="U32" s="162"/>
      <c r="V32" s="162"/>
      <c r="W32" s="162"/>
      <c r="X32" s="162"/>
      <c r="Y32" s="162"/>
      <c r="Z32" s="162"/>
      <c r="AA32" s="162"/>
      <c r="AB32" s="233"/>
      <c r="AC32" s="234"/>
    </row>
    <row r="33" spans="1:29" s="52" customFormat="1" ht="19.5" customHeight="1">
      <c r="A33" s="95">
        <v>12</v>
      </c>
      <c r="B33" s="96">
        <v>4</v>
      </c>
      <c r="C33" s="245"/>
      <c r="D33" s="246"/>
      <c r="E33" s="247">
        <v>0.41666666666666669</v>
      </c>
      <c r="F33" s="247"/>
      <c r="G33" s="248"/>
      <c r="H33" s="249">
        <v>0.85416666666666663</v>
      </c>
      <c r="I33" s="226"/>
      <c r="J33" s="227"/>
      <c r="K33" s="228" t="s">
        <v>92</v>
      </c>
      <c r="L33" s="229"/>
      <c r="M33" s="229"/>
      <c r="N33" s="230"/>
      <c r="O33" s="225" t="s">
        <v>307</v>
      </c>
      <c r="P33" s="226"/>
      <c r="Q33" s="227"/>
      <c r="R33" s="97">
        <v>1</v>
      </c>
      <c r="S33" s="98" t="s">
        <v>286</v>
      </c>
      <c r="T33" s="162"/>
      <c r="U33" s="162"/>
      <c r="V33" s="162"/>
      <c r="W33" s="162"/>
      <c r="X33" s="162"/>
      <c r="Y33" s="162"/>
      <c r="Z33" s="162"/>
      <c r="AA33" s="162"/>
      <c r="AB33" s="233"/>
      <c r="AC33" s="234"/>
    </row>
    <row r="34" spans="1:29" s="52" customFormat="1" ht="19.5" customHeight="1">
      <c r="A34" s="95">
        <v>13</v>
      </c>
      <c r="B34" s="96">
        <v>5</v>
      </c>
      <c r="C34" s="245"/>
      <c r="D34" s="246"/>
      <c r="E34" s="247">
        <v>0.41666666666666669</v>
      </c>
      <c r="F34" s="247"/>
      <c r="G34" s="248"/>
      <c r="H34" s="249">
        <v>0.83333333333333337</v>
      </c>
      <c r="I34" s="226"/>
      <c r="J34" s="227"/>
      <c r="K34" s="228" t="s">
        <v>92</v>
      </c>
      <c r="L34" s="229"/>
      <c r="M34" s="229"/>
      <c r="N34" s="230"/>
      <c r="O34" s="225" t="s">
        <v>305</v>
      </c>
      <c r="P34" s="226"/>
      <c r="Q34" s="227"/>
      <c r="R34" s="97">
        <v>1</v>
      </c>
      <c r="S34" s="98" t="s">
        <v>306</v>
      </c>
      <c r="T34" s="162"/>
      <c r="U34" s="162"/>
      <c r="V34" s="162"/>
      <c r="W34" s="162"/>
      <c r="X34" s="162"/>
      <c r="Y34" s="162"/>
      <c r="Z34" s="162"/>
      <c r="AA34" s="162"/>
      <c r="AB34" s="233"/>
      <c r="AC34" s="234"/>
    </row>
    <row r="35" spans="1:29" s="52" customFormat="1" ht="19.5" customHeight="1">
      <c r="A35" s="95">
        <v>14</v>
      </c>
      <c r="B35" s="96">
        <v>6</v>
      </c>
      <c r="C35" s="245" t="s">
        <v>279</v>
      </c>
      <c r="D35" s="246"/>
      <c r="E35" s="247" t="s">
        <v>93</v>
      </c>
      <c r="F35" s="247"/>
      <c r="G35" s="248"/>
      <c r="H35" s="249" t="s">
        <v>93</v>
      </c>
      <c r="I35" s="226"/>
      <c r="J35" s="227"/>
      <c r="K35" s="228" t="s">
        <v>92</v>
      </c>
      <c r="L35" s="229"/>
      <c r="M35" s="229"/>
      <c r="N35" s="230"/>
      <c r="O35" s="225" t="s">
        <v>86</v>
      </c>
      <c r="P35" s="226"/>
      <c r="Q35" s="227"/>
      <c r="R35" s="97"/>
      <c r="S35" s="98" t="s">
        <v>294</v>
      </c>
      <c r="T35" s="162"/>
      <c r="U35" s="162"/>
      <c r="V35" s="162"/>
      <c r="W35" s="162"/>
      <c r="X35" s="162"/>
      <c r="Y35" s="162"/>
      <c r="Z35" s="162"/>
      <c r="AA35" s="162"/>
      <c r="AB35" s="233"/>
      <c r="AC35" s="234"/>
    </row>
    <row r="36" spans="1:29" s="52" customFormat="1" ht="19.5" customHeight="1">
      <c r="A36" s="95">
        <v>15</v>
      </c>
      <c r="B36" s="96">
        <v>7</v>
      </c>
      <c r="C36" s="245"/>
      <c r="D36" s="246"/>
      <c r="E36" s="247">
        <v>0.41666666666666669</v>
      </c>
      <c r="F36" s="247"/>
      <c r="G36" s="248"/>
      <c r="H36" s="249">
        <v>0.83333333333333337</v>
      </c>
      <c r="I36" s="226"/>
      <c r="J36" s="227"/>
      <c r="K36" s="228" t="s">
        <v>92</v>
      </c>
      <c r="L36" s="229"/>
      <c r="M36" s="229"/>
      <c r="N36" s="230"/>
      <c r="O36" s="225" t="s">
        <v>305</v>
      </c>
      <c r="P36" s="226"/>
      <c r="Q36" s="227"/>
      <c r="R36" s="97">
        <v>1</v>
      </c>
      <c r="S36" s="98" t="s">
        <v>298</v>
      </c>
      <c r="T36" s="162"/>
      <c r="U36" s="162"/>
      <c r="V36" s="162"/>
      <c r="W36" s="162"/>
      <c r="X36" s="162"/>
      <c r="Y36" s="162"/>
      <c r="Z36" s="162"/>
      <c r="AA36" s="162"/>
      <c r="AB36" s="233"/>
      <c r="AC36" s="234"/>
    </row>
    <row r="37" spans="1:29" s="52" customFormat="1" ht="19.5" customHeight="1">
      <c r="A37" s="134">
        <v>16</v>
      </c>
      <c r="B37" s="135">
        <v>8</v>
      </c>
      <c r="C37" s="245"/>
      <c r="D37" s="246"/>
      <c r="E37" s="247" t="s">
        <v>93</v>
      </c>
      <c r="F37" s="247"/>
      <c r="G37" s="248"/>
      <c r="H37" s="249" t="s">
        <v>93</v>
      </c>
      <c r="I37" s="226"/>
      <c r="J37" s="227"/>
      <c r="K37" s="228" t="s">
        <v>92</v>
      </c>
      <c r="L37" s="229"/>
      <c r="M37" s="229"/>
      <c r="N37" s="230"/>
      <c r="O37" s="225" t="s">
        <v>86</v>
      </c>
      <c r="P37" s="226"/>
      <c r="Q37" s="227"/>
      <c r="R37" s="97"/>
      <c r="S37" s="98" t="s">
        <v>294</v>
      </c>
      <c r="T37" s="162"/>
      <c r="U37" s="162"/>
      <c r="V37" s="162"/>
      <c r="W37" s="162"/>
      <c r="X37" s="162"/>
      <c r="Y37" s="162"/>
      <c r="Z37" s="162"/>
      <c r="AA37" s="162"/>
      <c r="AB37" s="233"/>
      <c r="AC37" s="234"/>
    </row>
    <row r="38" spans="1:29" s="52" customFormat="1" ht="19.5" customHeight="1">
      <c r="A38" s="134">
        <v>17</v>
      </c>
      <c r="B38" s="135">
        <v>2</v>
      </c>
      <c r="C38" s="245"/>
      <c r="D38" s="246"/>
      <c r="E38" s="247" t="s">
        <v>93</v>
      </c>
      <c r="F38" s="247"/>
      <c r="G38" s="248"/>
      <c r="H38" s="249" t="s">
        <v>93</v>
      </c>
      <c r="I38" s="226"/>
      <c r="J38" s="227"/>
      <c r="K38" s="228" t="s">
        <v>92</v>
      </c>
      <c r="L38" s="229"/>
      <c r="M38" s="229"/>
      <c r="N38" s="230"/>
      <c r="O38" s="225" t="s">
        <v>86</v>
      </c>
      <c r="P38" s="226"/>
      <c r="Q38" s="227"/>
      <c r="R38" s="97"/>
      <c r="S38" s="98" t="s">
        <v>286</v>
      </c>
      <c r="T38" s="162"/>
      <c r="U38" s="162"/>
      <c r="V38" s="162"/>
      <c r="W38" s="162"/>
      <c r="X38" s="162"/>
      <c r="Y38" s="162"/>
      <c r="Z38" s="162"/>
      <c r="AA38" s="162"/>
      <c r="AB38" s="233"/>
      <c r="AC38" s="234"/>
    </row>
    <row r="39" spans="1:29" s="52" customFormat="1" ht="19.5" customHeight="1">
      <c r="A39" s="95">
        <v>18</v>
      </c>
      <c r="B39" s="96">
        <v>3</v>
      </c>
      <c r="C39" s="245" t="s">
        <v>279</v>
      </c>
      <c r="D39" s="246"/>
      <c r="E39" s="247" t="s">
        <v>93</v>
      </c>
      <c r="F39" s="247"/>
      <c r="G39" s="248"/>
      <c r="H39" s="249" t="s">
        <v>93</v>
      </c>
      <c r="I39" s="226"/>
      <c r="J39" s="227"/>
      <c r="K39" s="228" t="s">
        <v>92</v>
      </c>
      <c r="L39" s="229"/>
      <c r="M39" s="229"/>
      <c r="N39" s="230"/>
      <c r="O39" s="225" t="s">
        <v>86</v>
      </c>
      <c r="P39" s="226"/>
      <c r="Q39" s="227"/>
      <c r="R39" s="97"/>
      <c r="S39" s="98" t="s">
        <v>298</v>
      </c>
      <c r="T39" s="162"/>
      <c r="U39" s="162"/>
      <c r="V39" s="162"/>
      <c r="W39" s="162"/>
      <c r="X39" s="162"/>
      <c r="Y39" s="162"/>
      <c r="Z39" s="162"/>
      <c r="AA39" s="162"/>
      <c r="AB39" s="233"/>
      <c r="AC39" s="234"/>
    </row>
    <row r="40" spans="1:29" s="52" customFormat="1" ht="19.5" customHeight="1">
      <c r="A40" s="95">
        <v>19</v>
      </c>
      <c r="B40" s="96">
        <v>4</v>
      </c>
      <c r="C40" s="245"/>
      <c r="D40" s="246"/>
      <c r="E40" s="247" t="s">
        <v>303</v>
      </c>
      <c r="F40" s="247"/>
      <c r="G40" s="248"/>
      <c r="H40" s="249">
        <v>0.83333333333333337</v>
      </c>
      <c r="I40" s="226"/>
      <c r="J40" s="227"/>
      <c r="K40" s="228" t="s">
        <v>92</v>
      </c>
      <c r="L40" s="229"/>
      <c r="M40" s="229"/>
      <c r="N40" s="230"/>
      <c r="O40" s="225" t="s">
        <v>304</v>
      </c>
      <c r="P40" s="226"/>
      <c r="Q40" s="227"/>
      <c r="R40" s="97">
        <v>1</v>
      </c>
      <c r="S40" s="98" t="s">
        <v>298</v>
      </c>
      <c r="T40" s="162"/>
      <c r="U40" s="162"/>
      <c r="V40" s="162"/>
      <c r="W40" s="162"/>
      <c r="X40" s="162"/>
      <c r="Y40" s="162"/>
      <c r="Z40" s="162"/>
      <c r="AA40" s="162"/>
      <c r="AB40" s="233"/>
      <c r="AC40" s="234"/>
    </row>
    <row r="41" spans="1:29" s="52" customFormat="1" ht="19.5" customHeight="1">
      <c r="A41" s="160">
        <v>20</v>
      </c>
      <c r="B41" s="161">
        <v>5</v>
      </c>
      <c r="C41" s="235" t="s">
        <v>279</v>
      </c>
      <c r="D41" s="236"/>
      <c r="E41" s="237" t="s">
        <v>93</v>
      </c>
      <c r="F41" s="237"/>
      <c r="G41" s="238"/>
      <c r="H41" s="239" t="s">
        <v>93</v>
      </c>
      <c r="I41" s="240"/>
      <c r="J41" s="241"/>
      <c r="K41" s="242" t="s">
        <v>92</v>
      </c>
      <c r="L41" s="240"/>
      <c r="M41" s="240"/>
      <c r="N41" s="241"/>
      <c r="O41" s="242" t="s">
        <v>86</v>
      </c>
      <c r="P41" s="240"/>
      <c r="Q41" s="241"/>
      <c r="R41" s="99"/>
      <c r="S41" s="100" t="s">
        <v>286</v>
      </c>
      <c r="T41" s="163"/>
      <c r="U41" s="163"/>
      <c r="V41" s="163"/>
      <c r="W41" s="163"/>
      <c r="X41" s="163"/>
      <c r="Y41" s="163"/>
      <c r="Z41" s="163"/>
      <c r="AA41" s="163"/>
      <c r="AB41" s="243"/>
      <c r="AC41" s="244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21"/>
      <c r="D50" s="222"/>
      <c r="E50" s="223" t="s">
        <v>93</v>
      </c>
      <c r="F50" s="223"/>
      <c r="G50" s="224"/>
      <c r="H50" s="189" t="s">
        <v>93</v>
      </c>
      <c r="I50" s="190"/>
      <c r="J50" s="191"/>
      <c r="K50" s="192" t="s">
        <v>92</v>
      </c>
      <c r="L50" s="193"/>
      <c r="M50" s="193"/>
      <c r="N50" s="194"/>
      <c r="O50" s="189" t="s">
        <v>86</v>
      </c>
      <c r="P50" s="190"/>
      <c r="Q50" s="191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31"/>
      <c r="AC50" s="232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200" t="s">
        <v>83</v>
      </c>
      <c r="B52" s="202" t="s">
        <v>70</v>
      </c>
      <c r="C52" s="203"/>
      <c r="D52" s="203"/>
      <c r="E52" s="203"/>
      <c r="F52" s="203"/>
      <c r="G52" s="203"/>
      <c r="H52" s="203"/>
      <c r="I52" s="204"/>
      <c r="J52" s="208" t="s">
        <v>71</v>
      </c>
      <c r="K52" s="209"/>
      <c r="L52" s="209"/>
      <c r="M52" s="210"/>
      <c r="N52" s="214" t="s">
        <v>72</v>
      </c>
      <c r="O52" s="215"/>
      <c r="P52" s="215"/>
      <c r="Q52" s="215"/>
      <c r="R52" s="215"/>
      <c r="S52" s="215"/>
      <c r="T52" s="215"/>
      <c r="U52" s="215"/>
      <c r="V52" s="216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201"/>
      <c r="B53" s="205"/>
      <c r="C53" s="206"/>
      <c r="D53" s="206"/>
      <c r="E53" s="206"/>
      <c r="F53" s="206"/>
      <c r="G53" s="206"/>
      <c r="H53" s="206"/>
      <c r="I53" s="207"/>
      <c r="J53" s="211"/>
      <c r="K53" s="212"/>
      <c r="L53" s="212"/>
      <c r="M53" s="213"/>
      <c r="N53" s="217" t="s">
        <v>75</v>
      </c>
      <c r="O53" s="218"/>
      <c r="P53" s="219"/>
      <c r="Q53" s="217" t="s">
        <v>76</v>
      </c>
      <c r="R53" s="218"/>
      <c r="S53" s="219"/>
      <c r="T53" s="217" t="s">
        <v>77</v>
      </c>
      <c r="U53" s="218"/>
      <c r="V53" s="220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184"/>
      <c r="K54" s="185"/>
      <c r="L54" s="185"/>
      <c r="M54" s="186"/>
      <c r="N54" s="187" t="s">
        <v>193</v>
      </c>
      <c r="O54" s="187"/>
      <c r="P54" s="187"/>
      <c r="Q54" s="187" t="s">
        <v>193</v>
      </c>
      <c r="R54" s="187"/>
      <c r="S54" s="187"/>
      <c r="T54" s="187" t="s">
        <v>193</v>
      </c>
      <c r="U54" s="187"/>
      <c r="V54" s="188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195"/>
      <c r="K55" s="196"/>
      <c r="L55" s="196"/>
      <c r="M55" s="197"/>
      <c r="N55" s="198" t="s">
        <v>193</v>
      </c>
      <c r="O55" s="198"/>
      <c r="P55" s="198"/>
      <c r="Q55" s="198" t="s">
        <v>193</v>
      </c>
      <c r="R55" s="198"/>
      <c r="S55" s="198"/>
      <c r="T55" s="198" t="s">
        <v>193</v>
      </c>
      <c r="U55" s="198"/>
      <c r="V55" s="199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179" t="s">
        <v>78</v>
      </c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1"/>
      <c r="N56" s="182" t="s">
        <v>79</v>
      </c>
      <c r="O56" s="182"/>
      <c r="P56" s="182"/>
      <c r="Q56" s="182" t="s">
        <v>79</v>
      </c>
      <c r="R56" s="182"/>
      <c r="S56" s="182"/>
      <c r="T56" s="182" t="s">
        <v>79</v>
      </c>
      <c r="U56" s="182"/>
      <c r="V56" s="183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tabSelected="1" showOutlineSymbols="0" topLeftCell="C19" zoomScale="95" workbookViewId="0">
      <selection activeCell="O32" sqref="O32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71" t="s">
        <v>250</v>
      </c>
      <c r="F2" s="272"/>
      <c r="H2" s="277" t="s">
        <v>182</v>
      </c>
      <c r="I2" s="277"/>
      <c r="J2" s="277"/>
      <c r="K2" s="277"/>
      <c r="L2" s="277"/>
      <c r="M2" s="277"/>
      <c r="N2" s="271" t="s">
        <v>183</v>
      </c>
      <c r="O2" s="272"/>
    </row>
    <row r="3" spans="1:46" ht="13.5">
      <c r="E3" s="275">
        <v>1</v>
      </c>
      <c r="F3" s="276"/>
      <c r="G3" s="155"/>
      <c r="H3" s="278" t="s">
        <v>271</v>
      </c>
      <c r="I3" s="278"/>
      <c r="J3" s="278"/>
      <c r="K3" s="278"/>
      <c r="L3" s="278"/>
      <c r="M3" s="278"/>
      <c r="N3" s="273" t="s">
        <v>269</v>
      </c>
      <c r="O3" s="274"/>
    </row>
    <row r="4" spans="1:46" ht="13.5">
      <c r="E4" s="275">
        <v>2</v>
      </c>
      <c r="F4" s="276"/>
      <c r="G4" s="155"/>
      <c r="H4" s="278"/>
      <c r="I4" s="278"/>
      <c r="J4" s="278"/>
      <c r="K4" s="278"/>
      <c r="L4" s="278"/>
      <c r="M4" s="278"/>
      <c r="N4" s="273"/>
      <c r="O4" s="274"/>
    </row>
    <row r="5" spans="1:46" ht="13.5">
      <c r="E5" s="275">
        <v>3</v>
      </c>
      <c r="F5" s="276"/>
      <c r="G5" s="155"/>
      <c r="H5" s="278"/>
      <c r="I5" s="278"/>
      <c r="J5" s="278"/>
      <c r="K5" s="278"/>
      <c r="L5" s="278"/>
      <c r="M5" s="278"/>
      <c r="N5" s="273"/>
      <c r="O5" s="274"/>
    </row>
    <row r="6" spans="1:46" ht="13.5">
      <c r="E6" s="275">
        <v>4</v>
      </c>
      <c r="F6" s="276"/>
      <c r="G6" s="155"/>
      <c r="H6" s="278"/>
      <c r="I6" s="278"/>
      <c r="J6" s="278"/>
      <c r="K6" s="278"/>
      <c r="L6" s="278"/>
      <c r="M6" s="278"/>
      <c r="N6" s="273"/>
      <c r="O6" s="274"/>
    </row>
    <row r="7" spans="1:46" ht="8.1" customHeight="1"/>
    <row r="8" spans="1:46" ht="14.25">
      <c r="C8" s="53"/>
      <c r="E8" s="279">
        <v>2020</v>
      </c>
      <c r="F8" s="279"/>
      <c r="H8" s="10" t="s">
        <v>0</v>
      </c>
      <c r="I8" s="113">
        <v>5</v>
      </c>
      <c r="J8" s="11" t="s">
        <v>1</v>
      </c>
      <c r="M8" s="8" t="s">
        <v>94</v>
      </c>
      <c r="N8" s="280" t="s">
        <v>266</v>
      </c>
      <c r="O8" s="280"/>
      <c r="P8" s="280"/>
      <c r="AI8" s="47" t="s">
        <v>32</v>
      </c>
      <c r="AJ8" s="47"/>
      <c r="AK8" s="270" t="s">
        <v>267</v>
      </c>
      <c r="AL8" s="270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7" t="s">
        <v>7</v>
      </c>
      <c r="L10" s="277"/>
      <c r="M10" s="277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>A</v>
      </c>
      <c r="B11" s="54" t="str">
        <f>IF(H11&lt;&gt;"",IF(A11="A",HLOOKUP(H11,共通!$Q$4:$AO$11,7,FALSE),HLOOKUP(H11,共通!$Q$4:$AO$11,8,FALSE)),"")</f>
        <v/>
      </c>
      <c r="C11" s="54"/>
      <c r="D11" s="54">
        <v>0</v>
      </c>
      <c r="E11" s="38">
        <v>21</v>
      </c>
      <c r="F11" s="50">
        <v>4</v>
      </c>
      <c r="G11" s="39"/>
      <c r="H11" s="112"/>
      <c r="I11" s="110">
        <v>900</v>
      </c>
      <c r="J11" s="110">
        <v>1830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0.375</v>
      </c>
      <c r="R11" s="44">
        <f t="shared" ref="R11:R41" si="2">IF(J11="","",TIME(TRUNC(J11/100),FLOOR(MOD(J11,100),10),))</f>
        <v>0.77083333333333337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0</v>
      </c>
      <c r="U11" s="45">
        <f t="shared" ref="U11:U41" si="5">IF(J11="","",IF(J11&lt;900,TRUNC((J11+2400)/100),TRUNC(J11/100)))</f>
        <v>18</v>
      </c>
      <c r="V11" s="45">
        <f t="shared" ref="V11:V41" si="6">IF(J11="","",MOD(J11,100))</f>
        <v>30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0.33333333333333331</v>
      </c>
      <c r="AD11" s="44">
        <f>IF(AND(I11&lt;&gt;"",J11&lt;&gt;""),TIME(,timecheck1(S11,T11,U11,V11,9),),"")</f>
        <v>0.33333333333333331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 t="str">
        <f t="shared" ref="AK11:AK41" si="18">IF(AND(AM11&lt;&gt;"",OR(B11="",B11="B",B11="I",B11="K",B11="L",B11="M"),AM11&lt;&gt;TIME(8,0,0)),AM11-TIME(8,0,0),IF(B11="E",-TIME(8,0,0),""))</f>
        <v/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0.33333333333333331</v>
      </c>
      <c r="AN11" s="46">
        <f t="shared" ref="AN11:AN41" si="21">IF(AD11&lt;&gt;"",IF(AG11&lt;&gt;"",AD11-AG11,AD11),"")</f>
        <v>0.33333333333333331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0.125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>A</v>
      </c>
      <c r="B12" s="54" t="str">
        <f>IF(H12&lt;&gt;"",IF(A12="A",HLOOKUP(H12,共通!$Q$4:$AO$11,7,FALSE),HLOOKUP(H12,共通!$Q$4:$AO$11,8,FALSE)),"")</f>
        <v/>
      </c>
      <c r="C12" s="54"/>
      <c r="D12" s="54">
        <v>0</v>
      </c>
      <c r="E12" s="38">
        <v>22</v>
      </c>
      <c r="F12" s="50">
        <v>5</v>
      </c>
      <c r="G12" s="39"/>
      <c r="H12" s="112"/>
      <c r="I12" s="110">
        <v>900</v>
      </c>
      <c r="J12" s="110">
        <v>2020</v>
      </c>
      <c r="K12" s="156"/>
      <c r="L12" s="55" t="s">
        <v>249</v>
      </c>
      <c r="M12" s="157"/>
      <c r="N12" s="131">
        <v>1</v>
      </c>
      <c r="O12" s="111"/>
      <c r="P12" s="147"/>
      <c r="Q12" s="44">
        <f t="shared" si="1"/>
        <v>0.375</v>
      </c>
      <c r="R12" s="44">
        <f t="shared" si="2"/>
        <v>0.84722222222222221</v>
      </c>
      <c r="S12" s="45">
        <f t="shared" si="3"/>
        <v>9</v>
      </c>
      <c r="T12" s="45">
        <f t="shared" si="4"/>
        <v>0</v>
      </c>
      <c r="U12" s="45">
        <f t="shared" si="5"/>
        <v>20</v>
      </c>
      <c r="V12" s="45">
        <f t="shared" si="6"/>
        <v>20</v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>
        <f>IF(AND(I12&lt;&gt;"",J12&lt;&gt;""),TIME(,timecheck1(S12,T12,U12,V12,17),),"")</f>
        <v>0.40972222222222227</v>
      </c>
      <c r="AD12" s="44">
        <f>IF(AND(I12&lt;&gt;"",J12&lt;&gt;""),TIME(,timecheck1(S12,T12,U12,V12,9),),"")</f>
        <v>0.33333333333333331</v>
      </c>
      <c r="AE12" s="44">
        <f>IF(AND(I12&lt;&gt;"",J12&lt;&gt;""),TIME(,timecheck1(S12,T12,U12,V12,0),),"")</f>
        <v>0</v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>
        <f t="shared" si="16"/>
        <v>6.25E-2</v>
      </c>
      <c r="AJ12" s="44">
        <f t="shared" si="17"/>
        <v>6.25E-2</v>
      </c>
      <c r="AK12" s="44">
        <f t="shared" si="18"/>
        <v>7.6388888888888951E-2</v>
      </c>
      <c r="AL12" s="44" t="str">
        <f t="shared" si="19"/>
        <v/>
      </c>
      <c r="AM12" s="46">
        <f t="shared" si="20"/>
        <v>0.40972222222222227</v>
      </c>
      <c r="AN12" s="46">
        <f t="shared" si="21"/>
        <v>0.33333333333333331</v>
      </c>
      <c r="AO12" s="46">
        <f t="shared" si="22"/>
        <v>0</v>
      </c>
      <c r="AP12" s="46">
        <f t="shared" si="23"/>
        <v>0.125</v>
      </c>
      <c r="AQ12" s="46">
        <f t="shared" si="24"/>
        <v>0.20833333333333334</v>
      </c>
      <c r="AR12" s="44"/>
      <c r="AS12" s="46"/>
      <c r="AT12" s="57"/>
    </row>
    <row r="13" spans="1:46" ht="13.5">
      <c r="A13" s="54" t="str">
        <f t="shared" si="0"/>
        <v>A</v>
      </c>
      <c r="B13" s="54" t="str">
        <f>IF(H13&lt;&gt;"",IF(A13="A",HLOOKUP(H13,共通!$Q$4:$AO$11,7,FALSE),HLOOKUP(H13,共通!$Q$4:$AO$11,8,FALSE)),"")</f>
        <v/>
      </c>
      <c r="C13" s="54"/>
      <c r="D13" s="54">
        <v>0</v>
      </c>
      <c r="E13" s="38">
        <v>23</v>
      </c>
      <c r="F13" s="50">
        <v>6</v>
      </c>
      <c r="G13" s="39"/>
      <c r="H13" s="112"/>
      <c r="I13" s="110">
        <v>900</v>
      </c>
      <c r="J13" s="110">
        <v>2030</v>
      </c>
      <c r="K13" s="156"/>
      <c r="L13" s="55" t="s">
        <v>249</v>
      </c>
      <c r="M13" s="157"/>
      <c r="N13" s="131">
        <v>1</v>
      </c>
      <c r="O13" s="111"/>
      <c r="P13" s="109"/>
      <c r="Q13" s="44">
        <f t="shared" si="1"/>
        <v>0.375</v>
      </c>
      <c r="R13" s="44">
        <f t="shared" si="2"/>
        <v>0.85416666666666663</v>
      </c>
      <c r="S13" s="45">
        <f t="shared" si="3"/>
        <v>9</v>
      </c>
      <c r="T13" s="45">
        <f t="shared" si="4"/>
        <v>0</v>
      </c>
      <c r="U13" s="45">
        <f t="shared" si="5"/>
        <v>20</v>
      </c>
      <c r="V13" s="45">
        <f t="shared" si="6"/>
        <v>30</v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>
        <f>IF(AND(I13&lt;&gt;"",J13&lt;&gt;""),TIME(,timecheck1(S13,T13,U13,V13,17),),"")</f>
        <v>0.41666666666666669</v>
      </c>
      <c r="AD13" s="44">
        <f>IF(AND(I13&lt;&gt;"",J13&lt;&gt;""),TIME(,timecheck1(S13,T13,U13,V13,9),),"")</f>
        <v>0.33333333333333331</v>
      </c>
      <c r="AE13" s="44">
        <f>IF(AND(I13&lt;&gt;"",J13&lt;&gt;""),TIME(,timecheck1(S13,T13,U13,V13,0),),"")</f>
        <v>0</v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>
        <f t="shared" si="16"/>
        <v>6.25E-2</v>
      </c>
      <c r="AJ13" s="44">
        <f t="shared" si="17"/>
        <v>6.25E-2</v>
      </c>
      <c r="AK13" s="44">
        <f t="shared" si="18"/>
        <v>8.333333333333337E-2</v>
      </c>
      <c r="AL13" s="44" t="str">
        <f t="shared" si="19"/>
        <v/>
      </c>
      <c r="AM13" s="46">
        <f t="shared" si="20"/>
        <v>0.41666666666666669</v>
      </c>
      <c r="AN13" s="46">
        <f t="shared" si="21"/>
        <v>0.33333333333333331</v>
      </c>
      <c r="AO13" s="46">
        <f t="shared" si="22"/>
        <v>0</v>
      </c>
      <c r="AP13" s="46">
        <f t="shared" si="23"/>
        <v>0.125</v>
      </c>
      <c r="AQ13" s="46">
        <f t="shared" si="24"/>
        <v>0.20833333333333334</v>
      </c>
      <c r="AR13" s="44"/>
      <c r="AS13" s="46"/>
      <c r="AT13" s="57"/>
    </row>
    <row r="14" spans="1:46" ht="13.5">
      <c r="A14" s="54" t="str">
        <f t="shared" si="0"/>
        <v>A</v>
      </c>
      <c r="B14" s="54" t="str">
        <f>IF(H14&lt;&gt;"",IF(A14="A",HLOOKUP(H14,共通!$Q$4:$AO$11,7,FALSE),HLOOKUP(H14,共通!$Q$4:$AO$11,8,FALSE)),"")</f>
        <v/>
      </c>
      <c r="C14" s="54"/>
      <c r="D14" s="54">
        <v>0</v>
      </c>
      <c r="E14" s="38">
        <v>24</v>
      </c>
      <c r="F14" s="50">
        <v>7</v>
      </c>
      <c r="G14" s="39"/>
      <c r="H14" s="112"/>
      <c r="I14" s="110">
        <v>900</v>
      </c>
      <c r="J14" s="110">
        <v>1930</v>
      </c>
      <c r="K14" s="156"/>
      <c r="L14" s="55" t="s">
        <v>249</v>
      </c>
      <c r="M14" s="157"/>
      <c r="N14" s="131">
        <v>1</v>
      </c>
      <c r="O14" s="111"/>
      <c r="P14" s="109"/>
      <c r="Q14" s="44">
        <f t="shared" si="1"/>
        <v>0.375</v>
      </c>
      <c r="R14" s="44">
        <f t="shared" si="2"/>
        <v>0.8125</v>
      </c>
      <c r="S14" s="45">
        <f t="shared" si="3"/>
        <v>9</v>
      </c>
      <c r="T14" s="45">
        <f t="shared" si="4"/>
        <v>0</v>
      </c>
      <c r="U14" s="45">
        <f t="shared" si="5"/>
        <v>19</v>
      </c>
      <c r="V14" s="45">
        <f t="shared" si="6"/>
        <v>30</v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>
        <f>IF(AND(I14&lt;&gt;"",J14&lt;&gt;""),TIME(,timecheck1(S14,T14,U14,V14,17),),"")</f>
        <v>0.375</v>
      </c>
      <c r="AD14" s="44">
        <f>IF(AND(I14&lt;&gt;"",J14&lt;&gt;""),TIME(,timecheck1(S14,T14,U14,V14,9),),"")</f>
        <v>0.33333333333333331</v>
      </c>
      <c r="AE14" s="44">
        <f>IF(AND(I14&lt;&gt;"",J14&lt;&gt;""),TIME(,timecheck1(S14,T14,U14,V14,0),),"")</f>
        <v>0</v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>
        <f t="shared" si="16"/>
        <v>6.25E-2</v>
      </c>
      <c r="AJ14" s="44">
        <f t="shared" si="17"/>
        <v>6.25E-2</v>
      </c>
      <c r="AK14" s="44">
        <f t="shared" si="18"/>
        <v>4.1666666666666685E-2</v>
      </c>
      <c r="AL14" s="44" t="str">
        <f t="shared" si="19"/>
        <v/>
      </c>
      <c r="AM14" s="46">
        <f t="shared" si="20"/>
        <v>0.375</v>
      </c>
      <c r="AN14" s="46">
        <f t="shared" si="21"/>
        <v>0.33333333333333331</v>
      </c>
      <c r="AO14" s="46">
        <f t="shared" si="22"/>
        <v>0</v>
      </c>
      <c r="AP14" s="46">
        <f t="shared" si="23"/>
        <v>0.125</v>
      </c>
      <c r="AQ14" s="46">
        <f t="shared" si="24"/>
        <v>0.20833333333333334</v>
      </c>
      <c r="AR14" s="44"/>
      <c r="AS14" s="46"/>
      <c r="AT14" s="57"/>
    </row>
    <row r="15" spans="1:46" ht="13.5">
      <c r="A15" s="54" t="str">
        <f t="shared" si="0"/>
        <v/>
      </c>
      <c r="B15" s="54" t="str">
        <f>IF(H15&lt;&gt;"",IF(A15="A",HLOOKUP(H15,共通!$Q$4:$AO$11,7,FALSE),HLOOKUP(H15,共通!$Q$4:$AO$11,8,FALSE)),"")</f>
        <v/>
      </c>
      <c r="C15" s="54"/>
      <c r="D15" s="54">
        <v>1</v>
      </c>
      <c r="E15" s="38">
        <v>25</v>
      </c>
      <c r="F15" s="50">
        <v>8</v>
      </c>
      <c r="G15" s="39"/>
      <c r="H15" s="112"/>
      <c r="I15" s="110"/>
      <c r="J15" s="110"/>
      <c r="K15" s="156"/>
      <c r="L15" s="55" t="s">
        <v>249</v>
      </c>
      <c r="M15" s="157"/>
      <c r="N15" s="131"/>
      <c r="O15" s="111"/>
      <c r="P15" s="109"/>
      <c r="Q15" s="44" t="str">
        <f t="shared" si="1"/>
        <v/>
      </c>
      <c r="R15" s="44" t="str">
        <f t="shared" si="2"/>
        <v/>
      </c>
      <c r="S15" s="45" t="str">
        <f t="shared" si="3"/>
        <v/>
      </c>
      <c r="T15" s="45" t="str">
        <f t="shared" si="4"/>
        <v/>
      </c>
      <c r="U15" s="45" t="str">
        <f t="shared" si="5"/>
        <v/>
      </c>
      <c r="V15" s="45" t="str">
        <f t="shared" si="6"/>
        <v/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 t="str">
        <f>IF(AND(I15&lt;&gt;"",J15&lt;&gt;""),TIME(,timecheck1(S15,T15,U15,V15,17),),"")</f>
        <v/>
      </c>
      <c r="AD15" s="44" t="str">
        <f>IF(AND(I15&lt;&gt;"",J15&lt;&gt;""),TIME(,timecheck1(S15,T15,U15,V15,9),),"")</f>
        <v/>
      </c>
      <c r="AE15" s="44" t="str">
        <f>IF(AND(I15&lt;&gt;"",J15&lt;&gt;""),TIME(,timecheck1(S15,T15,U15,V15,0),),"")</f>
        <v/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 t="str">
        <f t="shared" si="16"/>
        <v/>
      </c>
      <c r="AJ15" s="44" t="str">
        <f t="shared" si="17"/>
        <v/>
      </c>
      <c r="AK15" s="44" t="str">
        <f t="shared" si="18"/>
        <v/>
      </c>
      <c r="AL15" s="44" t="str">
        <f t="shared" si="19"/>
        <v/>
      </c>
      <c r="AM15" s="46" t="str">
        <f t="shared" si="20"/>
        <v/>
      </c>
      <c r="AN15" s="46" t="str">
        <f t="shared" si="21"/>
        <v/>
      </c>
      <c r="AO15" s="46" t="str">
        <f t="shared" si="22"/>
        <v/>
      </c>
      <c r="AP15" s="46" t="e">
        <f t="shared" si="23"/>
        <v>#VALUE!</v>
      </c>
      <c r="AQ15" s="46" t="e">
        <f t="shared" si="24"/>
        <v>#VALUE!</v>
      </c>
      <c r="AR15" s="44"/>
      <c r="AS15" s="46"/>
      <c r="AT15" s="57"/>
    </row>
    <row r="16" spans="1:46" ht="13.5">
      <c r="A16" s="54" t="str">
        <f t="shared" si="0"/>
        <v/>
      </c>
      <c r="B16" s="54" t="str">
        <f>IF(H16&lt;&gt;"",IF(A16="A",HLOOKUP(H16,共通!$Q$4:$AO$11,7,FALSE),HLOOKUP(H16,共通!$Q$4:$AO$11,8,FALSE)),"")</f>
        <v/>
      </c>
      <c r="C16" s="54"/>
      <c r="D16" s="54">
        <v>2</v>
      </c>
      <c r="E16" s="38">
        <v>26</v>
      </c>
      <c r="F16" s="50">
        <v>2</v>
      </c>
      <c r="G16" s="39"/>
      <c r="H16" s="112"/>
      <c r="I16" s="110"/>
      <c r="J16" s="110"/>
      <c r="K16" s="156"/>
      <c r="L16" s="55" t="s">
        <v>249</v>
      </c>
      <c r="M16" s="157"/>
      <c r="N16" s="131"/>
      <c r="O16" s="111"/>
      <c r="P16" s="109"/>
      <c r="Q16" s="44" t="str">
        <f t="shared" si="1"/>
        <v/>
      </c>
      <c r="R16" s="44" t="str">
        <f t="shared" si="2"/>
        <v/>
      </c>
      <c r="S16" s="45" t="str">
        <f t="shared" si="3"/>
        <v/>
      </c>
      <c r="T16" s="45" t="str">
        <f t="shared" si="4"/>
        <v/>
      </c>
      <c r="U16" s="45" t="str">
        <f t="shared" si="5"/>
        <v/>
      </c>
      <c r="V16" s="45" t="str">
        <f t="shared" si="6"/>
        <v/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 t="str">
        <f>IF(AND(I16&lt;&gt;"",J16&lt;&gt;""),TIME(,timecheck1(S16,T16,U16,V16,17),),"")</f>
        <v/>
      </c>
      <c r="AD16" s="44" t="str">
        <f>IF(AND(I16&lt;&gt;"",J16&lt;&gt;""),TIME(,timecheck1(S16,T16,U16,V16,9),),"")</f>
        <v/>
      </c>
      <c r="AE16" s="44" t="str">
        <f>IF(AND(I16&lt;&gt;"",J16&lt;&gt;""),TIME(,timecheck1(S16,T16,U16,V16,0),),"")</f>
        <v/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 t="str">
        <f t="shared" si="16"/>
        <v/>
      </c>
      <c r="AJ16" s="44" t="str">
        <f t="shared" si="17"/>
        <v/>
      </c>
      <c r="AK16" s="44" t="str">
        <f t="shared" si="18"/>
        <v/>
      </c>
      <c r="AL16" s="44" t="str">
        <f t="shared" si="19"/>
        <v/>
      </c>
      <c r="AM16" s="46" t="str">
        <f t="shared" si="20"/>
        <v/>
      </c>
      <c r="AN16" s="46" t="str">
        <f t="shared" si="21"/>
        <v/>
      </c>
      <c r="AO16" s="46" t="str">
        <f t="shared" si="22"/>
        <v/>
      </c>
      <c r="AP16" s="46" t="e">
        <f t="shared" si="23"/>
        <v>#VALUE!</v>
      </c>
      <c r="AQ16" s="46" t="e">
        <f t="shared" si="24"/>
        <v>#VALUE!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3</v>
      </c>
      <c r="G17" s="39"/>
      <c r="H17" s="112"/>
      <c r="I17" s="110">
        <v>900</v>
      </c>
      <c r="J17" s="110">
        <v>2030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0.375</v>
      </c>
      <c r="R17" s="44">
        <f t="shared" si="2"/>
        <v>0.85416666666666663</v>
      </c>
      <c r="S17" s="45">
        <f t="shared" si="3"/>
        <v>9</v>
      </c>
      <c r="T17" s="45">
        <f t="shared" si="4"/>
        <v>0</v>
      </c>
      <c r="U17" s="45">
        <f t="shared" si="5"/>
        <v>20</v>
      </c>
      <c r="V17" s="45">
        <f t="shared" si="6"/>
        <v>30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0.41666666666666669</v>
      </c>
      <c r="AD17" s="44">
        <f>IF(AND(I17&lt;&gt;"",J17&lt;&gt;""),TIME(,timecheck1(S17,T17,U17,V17,9),),"")</f>
        <v>0.33333333333333331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6.25E-2</v>
      </c>
      <c r="AJ17" s="44">
        <f t="shared" si="17"/>
        <v>6.25E-2</v>
      </c>
      <c r="AK17" s="44">
        <f t="shared" si="18"/>
        <v>8.333333333333337E-2</v>
      </c>
      <c r="AL17" s="44" t="str">
        <f t="shared" si="19"/>
        <v/>
      </c>
      <c r="AM17" s="46">
        <f t="shared" si="20"/>
        <v>0.41666666666666669</v>
      </c>
      <c r="AN17" s="46">
        <f t="shared" si="21"/>
        <v>0.33333333333333331</v>
      </c>
      <c r="AO17" s="46">
        <f t="shared" si="22"/>
        <v>0</v>
      </c>
      <c r="AP17" s="46">
        <f t="shared" si="23"/>
        <v>0.125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>A</v>
      </c>
      <c r="B18" s="54" t="str">
        <f>IF(H18&lt;&gt;"",IF(A18="A",HLOOKUP(H18,共通!$Q$4:$AO$11,7,FALSE),HLOOKUP(H18,共通!$Q$4:$AO$11,8,FALSE)),"")</f>
        <v/>
      </c>
      <c r="C18" s="54"/>
      <c r="D18" s="54">
        <v>0</v>
      </c>
      <c r="E18" s="38">
        <v>28</v>
      </c>
      <c r="F18" s="50">
        <v>4</v>
      </c>
      <c r="G18" s="39"/>
      <c r="H18" s="112"/>
      <c r="I18" s="110">
        <v>900</v>
      </c>
      <c r="J18" s="110">
        <v>2010</v>
      </c>
      <c r="K18" s="156"/>
      <c r="L18" s="55" t="s">
        <v>249</v>
      </c>
      <c r="M18" s="157"/>
      <c r="N18" s="131">
        <v>1</v>
      </c>
      <c r="O18" s="111"/>
      <c r="P18" s="109"/>
      <c r="Q18" s="44">
        <f t="shared" si="1"/>
        <v>0.375</v>
      </c>
      <c r="R18" s="44">
        <f t="shared" si="2"/>
        <v>0.84027777777777779</v>
      </c>
      <c r="S18" s="45">
        <f t="shared" si="3"/>
        <v>9</v>
      </c>
      <c r="T18" s="45">
        <f t="shared" si="4"/>
        <v>0</v>
      </c>
      <c r="U18" s="45">
        <f t="shared" si="5"/>
        <v>20</v>
      </c>
      <c r="V18" s="45">
        <f t="shared" si="6"/>
        <v>10</v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>
        <f>IF(AND(I18&lt;&gt;"",J18&lt;&gt;""),TIME(,timecheck1(S18,T18,U18,V18,17),),"")</f>
        <v>0.40277777777777773</v>
      </c>
      <c r="AD18" s="44">
        <f>IF(AND(I18&lt;&gt;"",J18&lt;&gt;""),TIME(,timecheck1(S18,T18,U18,V18,9),),"")</f>
        <v>0.33333333333333331</v>
      </c>
      <c r="AE18" s="44">
        <f>IF(AND(I18&lt;&gt;"",J18&lt;&gt;""),TIME(,timecheck1(S18,T18,U18,V18,0),),"")</f>
        <v>0</v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>
        <f t="shared" si="16"/>
        <v>6.25E-2</v>
      </c>
      <c r="AJ18" s="44">
        <f t="shared" si="17"/>
        <v>6.25E-2</v>
      </c>
      <c r="AK18" s="44">
        <f t="shared" si="18"/>
        <v>6.944444444444442E-2</v>
      </c>
      <c r="AL18" s="44" t="str">
        <f t="shared" si="19"/>
        <v/>
      </c>
      <c r="AM18" s="46">
        <f t="shared" si="20"/>
        <v>0.40277777777777773</v>
      </c>
      <c r="AN18" s="46">
        <f t="shared" si="21"/>
        <v>0.33333333333333331</v>
      </c>
      <c r="AO18" s="46">
        <f t="shared" si="22"/>
        <v>0</v>
      </c>
      <c r="AP18" s="46">
        <f t="shared" si="23"/>
        <v>0.125</v>
      </c>
      <c r="AQ18" s="46">
        <f t="shared" si="24"/>
        <v>0.20833333333333334</v>
      </c>
      <c r="AR18" s="44"/>
      <c r="AS18" s="46"/>
      <c r="AT18" s="57"/>
    </row>
    <row r="19" spans="1:46" ht="13.5">
      <c r="A19" s="54" t="str">
        <f t="shared" si="0"/>
        <v/>
      </c>
      <c r="B19" s="54" t="str">
        <f>IF(H19&lt;&gt;"",IF(A19="A",HLOOKUP(H19,共通!$Q$4:$AO$11,7,FALSE),HLOOKUP(H19,共通!$Q$4:$AO$11,8,FALSE)),"")</f>
        <v/>
      </c>
      <c r="C19" s="54"/>
      <c r="D19" s="54">
        <v>3</v>
      </c>
      <c r="E19" s="38">
        <v>29</v>
      </c>
      <c r="F19" s="50">
        <v>5</v>
      </c>
      <c r="G19" s="39" t="s">
        <v>273</v>
      </c>
      <c r="H19" s="112"/>
      <c r="I19" s="110"/>
      <c r="J19" s="110"/>
      <c r="K19" s="156"/>
      <c r="L19" s="55" t="s">
        <v>249</v>
      </c>
      <c r="M19" s="157"/>
      <c r="N19" s="131"/>
      <c r="O19" s="111"/>
      <c r="P19" s="109"/>
      <c r="Q19" s="44" t="str">
        <f t="shared" si="1"/>
        <v/>
      </c>
      <c r="R19" s="44" t="str">
        <f t="shared" si="2"/>
        <v/>
      </c>
      <c r="S19" s="45" t="str">
        <f t="shared" si="3"/>
        <v/>
      </c>
      <c r="T19" s="45" t="str">
        <f t="shared" si="4"/>
        <v/>
      </c>
      <c r="U19" s="45" t="str">
        <f t="shared" si="5"/>
        <v/>
      </c>
      <c r="V19" s="45" t="str">
        <f t="shared" si="6"/>
        <v/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 t="str">
        <f>IF(AND(I19&lt;&gt;"",J19&lt;&gt;""),TIME(,timecheck1(S19,T19,U19,V19,17),),"")</f>
        <v/>
      </c>
      <c r="AD19" s="44" t="str">
        <f>IF(AND(I19&lt;&gt;"",J19&lt;&gt;""),TIME(,timecheck1(S19,T19,U19,V19,9),),"")</f>
        <v/>
      </c>
      <c r="AE19" s="44" t="str">
        <f>IF(AND(I19&lt;&gt;"",J19&lt;&gt;""),TIME(,timecheck1(S19,T19,U19,V19,0),),"")</f>
        <v/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 t="str">
        <f t="shared" si="16"/>
        <v/>
      </c>
      <c r="AJ19" s="44" t="str">
        <f t="shared" si="17"/>
        <v/>
      </c>
      <c r="AK19" s="44" t="str">
        <f t="shared" si="18"/>
        <v/>
      </c>
      <c r="AL19" s="44" t="str">
        <f t="shared" si="19"/>
        <v/>
      </c>
      <c r="AM19" s="46" t="str">
        <f t="shared" si="20"/>
        <v/>
      </c>
      <c r="AN19" s="46" t="str">
        <f t="shared" si="21"/>
        <v/>
      </c>
      <c r="AO19" s="46" t="str">
        <f t="shared" si="22"/>
        <v/>
      </c>
      <c r="AP19" s="46" t="e">
        <f t="shared" si="23"/>
        <v>#VALUE!</v>
      </c>
      <c r="AQ19" s="46" t="e">
        <f t="shared" si="24"/>
        <v>#VALUE!</v>
      </c>
      <c r="AR19" s="44"/>
      <c r="AS19" s="46"/>
      <c r="AT19" s="57"/>
    </row>
    <row r="20" spans="1:46" ht="13.5">
      <c r="A20" s="54" t="str">
        <f t="shared" si="0"/>
        <v>A</v>
      </c>
      <c r="B20" s="54" t="str">
        <f>IF(H20&lt;&gt;"",IF(A20="A",HLOOKUP(H20,共通!$Q$4:$AO$11,7,FALSE),HLOOKUP(H20,共通!$Q$4:$AO$11,8,FALSE)),"")</f>
        <v/>
      </c>
      <c r="C20" s="54"/>
      <c r="D20" s="54">
        <v>0</v>
      </c>
      <c r="E20" s="38">
        <v>30</v>
      </c>
      <c r="F20" s="50">
        <v>6</v>
      </c>
      <c r="G20" s="39"/>
      <c r="H20" s="112"/>
      <c r="I20" s="110">
        <v>900</v>
      </c>
      <c r="J20" s="110">
        <v>2030</v>
      </c>
      <c r="K20" s="156"/>
      <c r="L20" s="55" t="s">
        <v>249</v>
      </c>
      <c r="M20" s="157"/>
      <c r="N20" s="131">
        <v>1</v>
      </c>
      <c r="O20" s="111"/>
      <c r="P20" s="109"/>
      <c r="Q20" s="44">
        <f t="shared" si="1"/>
        <v>0.375</v>
      </c>
      <c r="R20" s="44">
        <f t="shared" si="2"/>
        <v>0.85416666666666663</v>
      </c>
      <c r="S20" s="45">
        <f t="shared" si="3"/>
        <v>9</v>
      </c>
      <c r="T20" s="45">
        <f t="shared" si="4"/>
        <v>0</v>
      </c>
      <c r="U20" s="45">
        <f t="shared" si="5"/>
        <v>20</v>
      </c>
      <c r="V20" s="45">
        <f t="shared" si="6"/>
        <v>30</v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>
        <f>IF(AND(I20&lt;&gt;"",J20&lt;&gt;""),TIME(,timecheck1(S20,T20,U20,V20,17),),"")</f>
        <v>0.41666666666666669</v>
      </c>
      <c r="AD20" s="44">
        <f>IF(AND(I20&lt;&gt;"",J20&lt;&gt;""),TIME(,timecheck1(S20,T20,U20,V20,9),),"")</f>
        <v>0.33333333333333331</v>
      </c>
      <c r="AE20" s="44">
        <f>IF(AND(I20&lt;&gt;"",J20&lt;&gt;""),TIME(,timecheck1(S20,T20,U20,V20,0),),"")</f>
        <v>0</v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>
        <f t="shared" si="16"/>
        <v>6.25E-2</v>
      </c>
      <c r="AJ20" s="44">
        <f t="shared" si="17"/>
        <v>6.25E-2</v>
      </c>
      <c r="AK20" s="44">
        <f t="shared" si="18"/>
        <v>8.333333333333337E-2</v>
      </c>
      <c r="AL20" s="44" t="str">
        <f t="shared" si="19"/>
        <v/>
      </c>
      <c r="AM20" s="46">
        <f t="shared" si="20"/>
        <v>0.41666666666666669</v>
      </c>
      <c r="AN20" s="46">
        <f t="shared" si="21"/>
        <v>0.33333333333333331</v>
      </c>
      <c r="AO20" s="46">
        <f t="shared" si="22"/>
        <v>0</v>
      </c>
      <c r="AP20" s="46">
        <f t="shared" si="23"/>
        <v>0.125</v>
      </c>
      <c r="AQ20" s="46">
        <f t="shared" si="24"/>
        <v>0.20833333333333334</v>
      </c>
      <c r="AR20" s="44"/>
      <c r="AS20" s="46"/>
      <c r="AT20" s="57"/>
    </row>
    <row r="21" spans="1:46" ht="13.5">
      <c r="A21" s="54" t="str">
        <f t="shared" si="0"/>
        <v>A</v>
      </c>
      <c r="B21" s="54" t="str">
        <f>IF(H21&lt;&gt;"",IF(A21="A",HLOOKUP(H21,共通!$Q$4:$AO$11,7,FALSE),HLOOKUP(H21,共通!$Q$4:$AO$11,8,FALSE)),"")</f>
        <v/>
      </c>
      <c r="C21" s="54"/>
      <c r="D21" s="54">
        <v>0</v>
      </c>
      <c r="E21" s="38">
        <v>1</v>
      </c>
      <c r="F21" s="50">
        <v>7</v>
      </c>
      <c r="G21" s="39"/>
      <c r="H21" s="112"/>
      <c r="I21" s="110">
        <v>900</v>
      </c>
      <c r="J21" s="110">
        <v>1800</v>
      </c>
      <c r="K21" s="156"/>
      <c r="L21" s="55" t="s">
        <v>249</v>
      </c>
      <c r="M21" s="157"/>
      <c r="N21" s="131">
        <v>1</v>
      </c>
      <c r="O21" s="111"/>
      <c r="P21" s="109"/>
      <c r="Q21" s="44">
        <f t="shared" si="1"/>
        <v>0.375</v>
      </c>
      <c r="R21" s="44">
        <f t="shared" si="2"/>
        <v>0.75</v>
      </c>
      <c r="S21" s="45">
        <f t="shared" si="3"/>
        <v>9</v>
      </c>
      <c r="T21" s="45">
        <f t="shared" si="4"/>
        <v>0</v>
      </c>
      <c r="U21" s="45">
        <f t="shared" si="5"/>
        <v>18</v>
      </c>
      <c r="V21" s="45">
        <f t="shared" si="6"/>
        <v>0</v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>
        <f>IF(AND(I21&lt;&gt;"",J21&lt;&gt;""),TIME(,timecheck1(S21,T21,U21,V21,17),),"")</f>
        <v>0.33333333333333331</v>
      </c>
      <c r="AD21" s="44">
        <f>IF(AND(I21&lt;&gt;"",J21&lt;&gt;""),TIME(,timecheck1(S21,T21,U21,V21,9),),"")</f>
        <v>0.33333333333333331</v>
      </c>
      <c r="AE21" s="44">
        <f>IF(AND(I21&lt;&gt;"",J21&lt;&gt;""),TIME(,timecheck1(S21,T21,U21,V21,0),),"")</f>
        <v>0</v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>
        <f t="shared" si="16"/>
        <v>4.1666666666666664E-2</v>
      </c>
      <c r="AJ21" s="44">
        <f t="shared" si="17"/>
        <v>4.1666666666666664E-2</v>
      </c>
      <c r="AK21" s="44" t="str">
        <f t="shared" si="18"/>
        <v/>
      </c>
      <c r="AL21" s="44" t="str">
        <f t="shared" si="19"/>
        <v/>
      </c>
      <c r="AM21" s="46">
        <f t="shared" si="20"/>
        <v>0.33333333333333331</v>
      </c>
      <c r="AN21" s="46">
        <f t="shared" si="21"/>
        <v>0.33333333333333331</v>
      </c>
      <c r="AO21" s="46">
        <f t="shared" si="22"/>
        <v>0</v>
      </c>
      <c r="AP21" s="46">
        <f t="shared" si="23"/>
        <v>0.125</v>
      </c>
      <c r="AQ21" s="46">
        <f t="shared" si="24"/>
        <v>0.20833333333333334</v>
      </c>
      <c r="AR21" s="44"/>
      <c r="AS21" s="46"/>
      <c r="AT21" s="57"/>
    </row>
    <row r="22" spans="1:46" ht="13.5">
      <c r="A22" s="54" t="str">
        <f t="shared" si="0"/>
        <v/>
      </c>
      <c r="B22" s="54" t="str">
        <f>IF(H22&lt;&gt;"",IF(A22="A",HLOOKUP(H22,共通!$Q$4:$AO$11,7,FALSE),HLOOKUP(H22,共通!$Q$4:$AO$11,8,FALSE)),"")</f>
        <v>K</v>
      </c>
      <c r="C22" s="54"/>
      <c r="D22" s="54">
        <v>1</v>
      </c>
      <c r="E22" s="38">
        <v>2</v>
      </c>
      <c r="F22" s="50">
        <v>8</v>
      </c>
      <c r="G22" s="39"/>
      <c r="H22" s="112" t="s">
        <v>280</v>
      </c>
      <c r="I22" s="110">
        <v>1000</v>
      </c>
      <c r="J22" s="110">
        <v>2320</v>
      </c>
      <c r="K22" s="156"/>
      <c r="L22" s="55" t="s">
        <v>249</v>
      </c>
      <c r="M22" s="157"/>
      <c r="N22" s="131">
        <v>1</v>
      </c>
      <c r="O22" s="111"/>
      <c r="P22" s="109"/>
      <c r="Q22" s="44">
        <f t="shared" si="1"/>
        <v>0.41666666666666669</v>
      </c>
      <c r="R22" s="44">
        <f t="shared" si="2"/>
        <v>0.97222222222222221</v>
      </c>
      <c r="S22" s="45">
        <f t="shared" si="3"/>
        <v>10</v>
      </c>
      <c r="T22" s="45">
        <f t="shared" si="4"/>
        <v>0</v>
      </c>
      <c r="U22" s="45">
        <f t="shared" si="5"/>
        <v>23</v>
      </c>
      <c r="V22" s="45">
        <f t="shared" si="6"/>
        <v>20</v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>
        <f>IF(AND(I22&lt;&gt;"",J22&lt;&gt;""),TIME(,timecheck1(S22,T22,U22,V22,17),),"")</f>
        <v>0.47222222222222227</v>
      </c>
      <c r="AD22" s="44">
        <f>IF(AND(I22&lt;&gt;"",J22&lt;&gt;""),TIME(,timecheck1(S22,T22,U22,V22,9),),"")</f>
        <v>0.29166666666666669</v>
      </c>
      <c r="AE22" s="44">
        <f>IF(AND(I22&lt;&gt;"",J22&lt;&gt;""),TIME(,timecheck1(S22,T22,U22,V22,0),),"")</f>
        <v>5.5555555555555552E-2</v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>
        <f t="shared" si="16"/>
        <v>8.3333333333333329E-2</v>
      </c>
      <c r="AJ22" s="44">
        <f t="shared" si="17"/>
        <v>6.25E-2</v>
      </c>
      <c r="AK22" s="44">
        <f t="shared" si="18"/>
        <v>0.13888888888888895</v>
      </c>
      <c r="AL22" s="44" t="str">
        <f t="shared" si="19"/>
        <v/>
      </c>
      <c r="AM22" s="46">
        <f t="shared" si="20"/>
        <v>0.47222222222222227</v>
      </c>
      <c r="AN22" s="46">
        <f t="shared" si="21"/>
        <v>0.29166666666666669</v>
      </c>
      <c r="AO22" s="46">
        <f t="shared" si="22"/>
        <v>5.5555555555555552E-2</v>
      </c>
      <c r="AP22" s="46">
        <f t="shared" si="23"/>
        <v>8.3333333333333329E-2</v>
      </c>
      <c r="AQ22" s="46">
        <f t="shared" si="24"/>
        <v>0.20833333333333334</v>
      </c>
      <c r="AR22" s="44"/>
      <c r="AS22" s="46"/>
      <c r="AT22" s="57"/>
    </row>
    <row r="23" spans="1:46" ht="13.5">
      <c r="A23" s="54" t="str">
        <f t="shared" si="0"/>
        <v/>
      </c>
      <c r="B23" s="54" t="str">
        <f>IF(H23&lt;&gt;"",IF(A23="A",HLOOKUP(H23,共通!$Q$4:$AO$11,7,FALSE),HLOOKUP(H23,共通!$Q$4:$AO$11,8,FALSE)),"")</f>
        <v>K</v>
      </c>
      <c r="C23" s="54"/>
      <c r="D23" s="54">
        <v>3</v>
      </c>
      <c r="E23" s="38">
        <v>3</v>
      </c>
      <c r="F23" s="50">
        <v>2</v>
      </c>
      <c r="G23" s="39" t="s">
        <v>274</v>
      </c>
      <c r="H23" s="112" t="s">
        <v>280</v>
      </c>
      <c r="I23" s="110">
        <v>1000</v>
      </c>
      <c r="J23" s="110">
        <v>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0.41666666666666669</v>
      </c>
      <c r="R23" s="44">
        <f t="shared" si="2"/>
        <v>0</v>
      </c>
      <c r="S23" s="45">
        <f t="shared" si="3"/>
        <v>10</v>
      </c>
      <c r="T23" s="45">
        <f t="shared" si="4"/>
        <v>0</v>
      </c>
      <c r="U23" s="45">
        <f t="shared" si="5"/>
        <v>24</v>
      </c>
      <c r="V23" s="45">
        <f t="shared" si="6"/>
        <v>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0.5</v>
      </c>
      <c r="AD23" s="44">
        <f>IF(AND(I23&lt;&gt;"",J23&lt;&gt;""),TIME(,timecheck1(S23,T23,U23,V23,9),),"")</f>
        <v>0.29166666666666669</v>
      </c>
      <c r="AE23" s="44">
        <f>IF(AND(I23&lt;&gt;"",J23&lt;&gt;""),TIME(,timecheck1(S23,T23,U23,V23,0),),"")</f>
        <v>8.3333333333333329E-2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8.3333333333333329E-2</v>
      </c>
      <c r="AJ23" s="44">
        <f t="shared" si="17"/>
        <v>6.25E-2</v>
      </c>
      <c r="AK23" s="44">
        <f t="shared" si="18"/>
        <v>0.16666666666666669</v>
      </c>
      <c r="AL23" s="44" t="str">
        <f t="shared" si="19"/>
        <v/>
      </c>
      <c r="AM23" s="46">
        <f t="shared" si="20"/>
        <v>0.5</v>
      </c>
      <c r="AN23" s="46">
        <f t="shared" si="21"/>
        <v>0.29166666666666669</v>
      </c>
      <c r="AO23" s="46">
        <f t="shared" si="22"/>
        <v>8.3333333333333329E-2</v>
      </c>
      <c r="AP23" s="46">
        <f t="shared" si="23"/>
        <v>8.3333333333333329E-2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/>
      </c>
      <c r="B24" s="54" t="str">
        <f>IF(H24&lt;&gt;"",IF(A24="A",HLOOKUP(H24,共通!$Q$4:$AO$11,7,FALSE),HLOOKUP(H24,共通!$Q$4:$AO$11,8,FALSE)),"")</f>
        <v/>
      </c>
      <c r="C24" s="54"/>
      <c r="D24" s="54">
        <v>3</v>
      </c>
      <c r="E24" s="38">
        <v>4</v>
      </c>
      <c r="F24" s="50">
        <v>3</v>
      </c>
      <c r="G24" s="39" t="s">
        <v>275</v>
      </c>
      <c r="H24" s="112"/>
      <c r="I24" s="110"/>
      <c r="J24" s="110"/>
      <c r="K24" s="156"/>
      <c r="L24" s="55" t="s">
        <v>249</v>
      </c>
      <c r="M24" s="157"/>
      <c r="N24" s="131"/>
      <c r="O24" s="111"/>
      <c r="P24" s="109"/>
      <c r="Q24" s="44" t="str">
        <f t="shared" si="1"/>
        <v/>
      </c>
      <c r="R24" s="44" t="str">
        <f t="shared" si="2"/>
        <v/>
      </c>
      <c r="S24" s="45" t="str">
        <f t="shared" si="3"/>
        <v/>
      </c>
      <c r="T24" s="45" t="str">
        <f t="shared" si="4"/>
        <v/>
      </c>
      <c r="U24" s="45" t="str">
        <f t="shared" si="5"/>
        <v/>
      </c>
      <c r="V24" s="45" t="str">
        <f t="shared" si="6"/>
        <v/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 t="str">
        <f>IF(AND(I24&lt;&gt;"",J24&lt;&gt;""),TIME(,timecheck1(S24,T24,U24,V24,17),),"")</f>
        <v/>
      </c>
      <c r="AD24" s="44" t="str">
        <f>IF(AND(I24&lt;&gt;"",J24&lt;&gt;""),TIME(,timecheck1(S24,T24,U24,V24,9),),"")</f>
        <v/>
      </c>
      <c r="AE24" s="44" t="str">
        <f>IF(AND(I24&lt;&gt;"",J24&lt;&gt;""),TIME(,timecheck1(S24,T24,U24,V24,0),),"")</f>
        <v/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 t="str">
        <f t="shared" si="16"/>
        <v/>
      </c>
      <c r="AJ24" s="44" t="str">
        <f t="shared" si="17"/>
        <v/>
      </c>
      <c r="AK24" s="44" t="str">
        <f t="shared" si="18"/>
        <v/>
      </c>
      <c r="AL24" s="44" t="str">
        <f t="shared" si="19"/>
        <v/>
      </c>
      <c r="AM24" s="46" t="str">
        <f t="shared" si="20"/>
        <v/>
      </c>
      <c r="AN24" s="46" t="str">
        <f t="shared" si="21"/>
        <v/>
      </c>
      <c r="AO24" s="46" t="str">
        <f t="shared" si="22"/>
        <v/>
      </c>
      <c r="AP24" s="46" t="e">
        <f t="shared" si="23"/>
        <v>#VALUE!</v>
      </c>
      <c r="AQ24" s="46" t="e">
        <f t="shared" si="24"/>
        <v>#VALUE!</v>
      </c>
      <c r="AR24" s="44"/>
      <c r="AS24" s="46"/>
      <c r="AT24" s="57"/>
    </row>
    <row r="25" spans="1:46" ht="13.5">
      <c r="A25" s="54" t="str">
        <f t="shared" si="0"/>
        <v/>
      </c>
      <c r="B25" s="54" t="str">
        <f>IF(H25&lt;&gt;"",IF(A25="A",HLOOKUP(H25,共通!$Q$4:$AO$11,7,FALSE),HLOOKUP(H25,共通!$Q$4:$AO$11,8,FALSE)),"")</f>
        <v>K</v>
      </c>
      <c r="C25" s="54"/>
      <c r="D25" s="54">
        <v>3</v>
      </c>
      <c r="E25" s="38">
        <v>5</v>
      </c>
      <c r="F25" s="50">
        <v>4</v>
      </c>
      <c r="G25" s="39" t="s">
        <v>276</v>
      </c>
      <c r="H25" s="112" t="s">
        <v>280</v>
      </c>
      <c r="I25" s="110">
        <v>1030</v>
      </c>
      <c r="J25" s="110">
        <v>130</v>
      </c>
      <c r="K25" s="156"/>
      <c r="L25" s="55" t="s">
        <v>249</v>
      </c>
      <c r="M25" s="157"/>
      <c r="N25" s="131">
        <v>1</v>
      </c>
      <c r="O25" s="111"/>
      <c r="P25" s="109"/>
      <c r="Q25" s="44">
        <f t="shared" si="1"/>
        <v>0.4375</v>
      </c>
      <c r="R25" s="44">
        <f t="shared" si="2"/>
        <v>6.25E-2</v>
      </c>
      <c r="S25" s="45">
        <f t="shared" si="3"/>
        <v>10</v>
      </c>
      <c r="T25" s="45">
        <f t="shared" si="4"/>
        <v>30</v>
      </c>
      <c r="U25" s="45">
        <f t="shared" si="5"/>
        <v>25</v>
      </c>
      <c r="V25" s="45">
        <f t="shared" si="6"/>
        <v>30</v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>
        <f>IF(AND(I25&lt;&gt;"",J25&lt;&gt;""),TIME(,timecheck1(S25,T25,U25,V25,17),),"")</f>
        <v>0.52083333333333337</v>
      </c>
      <c r="AD25" s="44">
        <f>IF(AND(I25&lt;&gt;"",J25&lt;&gt;""),TIME(,timecheck1(S25,T25,U25,V25,9),),"")</f>
        <v>0.27083333333333331</v>
      </c>
      <c r="AE25" s="44">
        <f>IF(AND(I25&lt;&gt;"",J25&lt;&gt;""),TIME(,timecheck1(S25,T25,U25,V25,0),),"")</f>
        <v>0.125</v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>
        <f t="shared" si="16"/>
        <v>0.10416666666666667</v>
      </c>
      <c r="AJ25" s="44">
        <f t="shared" si="17"/>
        <v>6.25E-2</v>
      </c>
      <c r="AK25" s="44">
        <f t="shared" si="18"/>
        <v>0.18750000000000006</v>
      </c>
      <c r="AL25" s="44" t="str">
        <f t="shared" si="19"/>
        <v/>
      </c>
      <c r="AM25" s="46">
        <f t="shared" si="20"/>
        <v>0.52083333333333337</v>
      </c>
      <c r="AN25" s="46">
        <f t="shared" si="21"/>
        <v>0.27083333333333331</v>
      </c>
      <c r="AO25" s="46">
        <f t="shared" si="22"/>
        <v>0.125</v>
      </c>
      <c r="AP25" s="46">
        <f t="shared" si="23"/>
        <v>6.25E-2</v>
      </c>
      <c r="AQ25" s="46">
        <f t="shared" si="24"/>
        <v>0.20833333333333334</v>
      </c>
      <c r="AR25" s="44"/>
      <c r="AS25" s="46"/>
      <c r="AT25" s="57"/>
    </row>
    <row r="26" spans="1:46" ht="13.5">
      <c r="A26" s="54" t="str">
        <f t="shared" si="0"/>
        <v/>
      </c>
      <c r="B26" s="54" t="str">
        <f>IF(H26&lt;&gt;"",IF(A26="A",HLOOKUP(H26,共通!$Q$4:$AO$11,7,FALSE),HLOOKUP(H26,共通!$Q$4:$AO$11,8,FALSE)),"")</f>
        <v/>
      </c>
      <c r="C26" s="54"/>
      <c r="D26" s="54">
        <v>4</v>
      </c>
      <c r="E26" s="38">
        <v>6</v>
      </c>
      <c r="F26" s="50">
        <v>5</v>
      </c>
      <c r="G26" s="39" t="s">
        <v>277</v>
      </c>
      <c r="H26" s="112"/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>A</v>
      </c>
      <c r="B27" s="54" t="str">
        <f>IF(H27&lt;&gt;"",IF(A27="A",HLOOKUP(H27,共通!$Q$4:$AO$11,7,FALSE),HLOOKUP(H27,共通!$Q$4:$AO$11,8,FALSE)),"")</f>
        <v/>
      </c>
      <c r="C27" s="54"/>
      <c r="D27" s="54">
        <v>0</v>
      </c>
      <c r="E27" s="38">
        <v>7</v>
      </c>
      <c r="F27" s="50">
        <v>6</v>
      </c>
      <c r="G27" s="39"/>
      <c r="H27" s="112"/>
      <c r="I27" s="110">
        <v>1030</v>
      </c>
      <c r="J27" s="110">
        <v>1830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0.4375</v>
      </c>
      <c r="R27" s="44">
        <f t="shared" si="2"/>
        <v>0.77083333333333337</v>
      </c>
      <c r="S27" s="45">
        <f t="shared" si="3"/>
        <v>10</v>
      </c>
      <c r="T27" s="45">
        <f t="shared" si="4"/>
        <v>30</v>
      </c>
      <c r="U27" s="45">
        <f t="shared" si="5"/>
        <v>18</v>
      </c>
      <c r="V27" s="45">
        <f t="shared" si="6"/>
        <v>30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0.27083333333333331</v>
      </c>
      <c r="AD27" s="44">
        <f>IF(AND(I27&lt;&gt;"",J27&lt;&gt;""),TIME(,timecheck1(S27,T27,U27,V27,9),),"")</f>
        <v>0.27083333333333331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6.25E-2</v>
      </c>
      <c r="AJ27" s="44">
        <f t="shared" si="17"/>
        <v>6.25E-2</v>
      </c>
      <c r="AK27" s="44">
        <f t="shared" si="18"/>
        <v>-6.25E-2</v>
      </c>
      <c r="AL27" s="44" t="str">
        <f t="shared" si="19"/>
        <v/>
      </c>
      <c r="AM27" s="46">
        <f t="shared" si="20"/>
        <v>0.27083333333333331</v>
      </c>
      <c r="AN27" s="46">
        <f t="shared" si="21"/>
        <v>0.27083333333333331</v>
      </c>
      <c r="AO27" s="46">
        <f t="shared" si="22"/>
        <v>0</v>
      </c>
      <c r="AP27" s="46">
        <f t="shared" si="23"/>
        <v>6.25E-2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>A</v>
      </c>
      <c r="B28" s="54" t="str">
        <f>IF(H28&lt;&gt;"",IF(A28="A",HLOOKUP(H28,共通!$Q$4:$AO$11,7,FALSE),HLOOKUP(H28,共通!$Q$4:$AO$11,8,FALSE)),"")</f>
        <v/>
      </c>
      <c r="C28" s="54"/>
      <c r="D28" s="54">
        <v>0</v>
      </c>
      <c r="E28" s="38">
        <v>8</v>
      </c>
      <c r="F28" s="50">
        <v>7</v>
      </c>
      <c r="G28" s="39"/>
      <c r="H28" s="112"/>
      <c r="I28" s="110">
        <v>900</v>
      </c>
      <c r="J28" s="110">
        <v>1900</v>
      </c>
      <c r="K28" s="156"/>
      <c r="L28" s="55" t="s">
        <v>249</v>
      </c>
      <c r="M28" s="157"/>
      <c r="N28" s="131">
        <v>1</v>
      </c>
      <c r="O28" s="111"/>
      <c r="P28" s="109"/>
      <c r="Q28" s="44">
        <f t="shared" si="1"/>
        <v>0.375</v>
      </c>
      <c r="R28" s="44">
        <f t="shared" si="2"/>
        <v>0.79166666666666663</v>
      </c>
      <c r="S28" s="45">
        <f t="shared" si="3"/>
        <v>9</v>
      </c>
      <c r="T28" s="45">
        <f t="shared" si="4"/>
        <v>0</v>
      </c>
      <c r="U28" s="45">
        <f t="shared" si="5"/>
        <v>19</v>
      </c>
      <c r="V28" s="45">
        <f t="shared" si="6"/>
        <v>0</v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>
        <f>IF(AND(I28&lt;&gt;"",J28&lt;&gt;""),TIME(,timecheck1(S28,T28,U28,V28,17),),"")</f>
        <v>0.35416666666666669</v>
      </c>
      <c r="AD28" s="44">
        <f>IF(AND(I28&lt;&gt;"",J28&lt;&gt;""),TIME(,timecheck1(S28,T28,U28,V28,9),),"")</f>
        <v>0.33333333333333331</v>
      </c>
      <c r="AE28" s="44">
        <f>IF(AND(I28&lt;&gt;"",J28&lt;&gt;""),TIME(,timecheck1(S28,T28,U28,V28,0),),"")</f>
        <v>0</v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>
        <f t="shared" si="16"/>
        <v>6.25E-2</v>
      </c>
      <c r="AJ28" s="44">
        <f t="shared" si="17"/>
        <v>6.25E-2</v>
      </c>
      <c r="AK28" s="44">
        <f t="shared" si="18"/>
        <v>2.083333333333337E-2</v>
      </c>
      <c r="AL28" s="44" t="str">
        <f t="shared" si="19"/>
        <v/>
      </c>
      <c r="AM28" s="46">
        <f t="shared" si="20"/>
        <v>0.35416666666666669</v>
      </c>
      <c r="AN28" s="46">
        <f t="shared" si="21"/>
        <v>0.33333333333333331</v>
      </c>
      <c r="AO28" s="46">
        <f t="shared" si="22"/>
        <v>0</v>
      </c>
      <c r="AP28" s="46">
        <f t="shared" si="23"/>
        <v>0.125</v>
      </c>
      <c r="AQ28" s="46">
        <f t="shared" si="24"/>
        <v>0.20833333333333334</v>
      </c>
      <c r="AR28" s="44"/>
      <c r="AS28" s="46"/>
      <c r="AT28" s="57"/>
    </row>
    <row r="29" spans="1:46" ht="13.5">
      <c r="A29" s="54" t="str">
        <f t="shared" si="0"/>
        <v/>
      </c>
      <c r="B29" s="54" t="str">
        <f>IF(H29&lt;&gt;"",IF(A29="A",HLOOKUP(H29,共通!$Q$4:$AO$11,7,FALSE),HLOOKUP(H29,共通!$Q$4:$AO$11,8,FALSE)),"")</f>
        <v/>
      </c>
      <c r="C29" s="54"/>
      <c r="D29" s="54">
        <v>1</v>
      </c>
      <c r="E29" s="38">
        <v>9</v>
      </c>
      <c r="F29" s="50">
        <v>8</v>
      </c>
      <c r="G29" s="39"/>
      <c r="H29" s="112"/>
      <c r="I29" s="110"/>
      <c r="J29" s="110"/>
      <c r="K29" s="156"/>
      <c r="L29" s="55" t="s">
        <v>249</v>
      </c>
      <c r="M29" s="157"/>
      <c r="N29" s="131"/>
      <c r="O29" s="111"/>
      <c r="P29" s="109"/>
      <c r="Q29" s="44" t="str">
        <f t="shared" si="1"/>
        <v/>
      </c>
      <c r="R29" s="44" t="str">
        <f t="shared" si="2"/>
        <v/>
      </c>
      <c r="S29" s="45" t="str">
        <f t="shared" si="3"/>
        <v/>
      </c>
      <c r="T29" s="45" t="str">
        <f t="shared" si="4"/>
        <v/>
      </c>
      <c r="U29" s="45" t="str">
        <f t="shared" si="5"/>
        <v/>
      </c>
      <c r="V29" s="45" t="str">
        <f t="shared" si="6"/>
        <v/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 t="str">
        <f>IF(AND(I29&lt;&gt;"",J29&lt;&gt;""),TIME(,timecheck1(S29,T29,U29,V29,17),),"")</f>
        <v/>
      </c>
      <c r="AD29" s="44" t="str">
        <f>IF(AND(I29&lt;&gt;"",J29&lt;&gt;""),TIME(,timecheck1(S29,T29,U29,V29,9),),"")</f>
        <v/>
      </c>
      <c r="AE29" s="44" t="str">
        <f>IF(AND(I29&lt;&gt;"",J29&lt;&gt;""),TIME(,timecheck1(S29,T29,U29,V29,0),),"")</f>
        <v/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 t="str">
        <f t="shared" si="16"/>
        <v/>
      </c>
      <c r="AJ29" s="44" t="str">
        <f t="shared" si="17"/>
        <v/>
      </c>
      <c r="AK29" s="44" t="str">
        <f t="shared" si="18"/>
        <v/>
      </c>
      <c r="AL29" s="44" t="str">
        <f t="shared" si="19"/>
        <v/>
      </c>
      <c r="AM29" s="46" t="str">
        <f t="shared" si="20"/>
        <v/>
      </c>
      <c r="AN29" s="46" t="str">
        <f t="shared" si="21"/>
        <v/>
      </c>
      <c r="AO29" s="46" t="str">
        <f t="shared" si="22"/>
        <v/>
      </c>
      <c r="AP29" s="46" t="e">
        <f t="shared" si="23"/>
        <v>#VALUE!</v>
      </c>
      <c r="AQ29" s="46" t="e">
        <f t="shared" si="24"/>
        <v>#VALUE!</v>
      </c>
      <c r="AR29" s="44"/>
      <c r="AS29" s="46"/>
      <c r="AT29" s="57"/>
    </row>
    <row r="30" spans="1:46" ht="13.5">
      <c r="A30" s="54" t="str">
        <f t="shared" si="0"/>
        <v/>
      </c>
      <c r="B30" s="54" t="str">
        <f>IF(H30&lt;&gt;"",IF(A30="A",HLOOKUP(H30,共通!$Q$4:$AO$11,7,FALSE),HLOOKUP(H30,共通!$Q$4:$AO$11,8,FALSE)),"")</f>
        <v/>
      </c>
      <c r="C30" s="54"/>
      <c r="D30" s="54">
        <v>2</v>
      </c>
      <c r="E30" s="38">
        <v>10</v>
      </c>
      <c r="F30" s="50">
        <v>2</v>
      </c>
      <c r="G30" s="39"/>
      <c r="H30" s="112"/>
      <c r="I30" s="110"/>
      <c r="J30" s="110"/>
      <c r="K30" s="156"/>
      <c r="L30" s="55" t="s">
        <v>249</v>
      </c>
      <c r="M30" s="157"/>
      <c r="N30" s="131"/>
      <c r="O30" s="111"/>
      <c r="P30" s="109"/>
      <c r="Q30" s="44" t="str">
        <f t="shared" si="1"/>
        <v/>
      </c>
      <c r="R30" s="44" t="str">
        <f t="shared" si="2"/>
        <v/>
      </c>
      <c r="S30" s="45" t="str">
        <f t="shared" si="3"/>
        <v/>
      </c>
      <c r="T30" s="45" t="str">
        <f t="shared" si="4"/>
        <v/>
      </c>
      <c r="U30" s="45" t="str">
        <f t="shared" si="5"/>
        <v/>
      </c>
      <c r="V30" s="45" t="str">
        <f t="shared" si="6"/>
        <v/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 t="str">
        <f>IF(AND(I30&lt;&gt;"",J30&lt;&gt;""),TIME(,timecheck1(S30,T30,U30,V30,17),),"")</f>
        <v/>
      </c>
      <c r="AD30" s="44" t="str">
        <f>IF(AND(I30&lt;&gt;"",J30&lt;&gt;""),TIME(,timecheck1(S30,T30,U30,V30,9),),"")</f>
        <v/>
      </c>
      <c r="AE30" s="44" t="str">
        <f>IF(AND(I30&lt;&gt;"",J30&lt;&gt;""),TIME(,timecheck1(S30,T30,U30,V30,0),),"")</f>
        <v/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 t="str">
        <f t="shared" si="16"/>
        <v/>
      </c>
      <c r="AJ30" s="44" t="str">
        <f t="shared" si="17"/>
        <v/>
      </c>
      <c r="AK30" s="44" t="str">
        <f t="shared" si="18"/>
        <v/>
      </c>
      <c r="AL30" s="44" t="str">
        <f t="shared" si="19"/>
        <v/>
      </c>
      <c r="AM30" s="46" t="str">
        <f t="shared" si="20"/>
        <v/>
      </c>
      <c r="AN30" s="46" t="str">
        <f t="shared" si="21"/>
        <v/>
      </c>
      <c r="AO30" s="46" t="str">
        <f t="shared" si="22"/>
        <v/>
      </c>
      <c r="AP30" s="46" t="e">
        <f t="shared" si="23"/>
        <v>#VALUE!</v>
      </c>
      <c r="AQ30" s="46" t="e">
        <f t="shared" si="24"/>
        <v>#VALUE!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11</v>
      </c>
      <c r="F31" s="50">
        <v>3</v>
      </c>
      <c r="G31" s="39"/>
      <c r="H31" s="112"/>
      <c r="I31" s="110">
        <v>1000</v>
      </c>
      <c r="J31" s="110">
        <v>1930</v>
      </c>
      <c r="K31" s="156"/>
      <c r="L31" s="55" t="s">
        <v>249</v>
      </c>
      <c r="M31" s="157"/>
      <c r="N31" s="131">
        <v>1</v>
      </c>
      <c r="O31" s="111"/>
      <c r="P31" s="109"/>
      <c r="Q31" s="44">
        <f t="shared" si="1"/>
        <v>0.41666666666666669</v>
      </c>
      <c r="R31" s="44">
        <f t="shared" si="2"/>
        <v>0.8125</v>
      </c>
      <c r="S31" s="45">
        <f t="shared" si="3"/>
        <v>10</v>
      </c>
      <c r="T31" s="45">
        <f t="shared" si="4"/>
        <v>0</v>
      </c>
      <c r="U31" s="45">
        <f t="shared" si="5"/>
        <v>19</v>
      </c>
      <c r="V31" s="45">
        <f t="shared" si="6"/>
        <v>30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0.33333333333333331</v>
      </c>
      <c r="AD31" s="44">
        <f>IF(AND(I31&lt;&gt;"",J31&lt;&gt;""),TIME(,timecheck1(S31,T31,U31,V31,9),),"")</f>
        <v>0.29166666666666669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 t="str">
        <f t="shared" si="18"/>
        <v/>
      </c>
      <c r="AL31" s="44" t="str">
        <f t="shared" si="19"/>
        <v/>
      </c>
      <c r="AM31" s="46">
        <f t="shared" si="20"/>
        <v>0.33333333333333331</v>
      </c>
      <c r="AN31" s="46">
        <f t="shared" si="21"/>
        <v>0.29166666666666669</v>
      </c>
      <c r="AO31" s="46">
        <f t="shared" si="22"/>
        <v>0</v>
      </c>
      <c r="AP31" s="46">
        <f t="shared" si="23"/>
        <v>8.3333333333333329E-2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>A</v>
      </c>
      <c r="B32" s="54" t="str">
        <f>IF(H32&lt;&gt;"",IF(A32="A",HLOOKUP(H32,共通!$Q$4:$AO$11,7,FALSE),HLOOKUP(H32,共通!$Q$4:$AO$11,8,FALSE)),"")</f>
        <v/>
      </c>
      <c r="C32" s="54"/>
      <c r="D32" s="54">
        <v>0</v>
      </c>
      <c r="E32" s="38">
        <v>12</v>
      </c>
      <c r="F32" s="50">
        <v>4</v>
      </c>
      <c r="G32" s="39"/>
      <c r="H32" s="112"/>
      <c r="I32" s="110">
        <v>1000</v>
      </c>
      <c r="J32" s="110">
        <v>2030</v>
      </c>
      <c r="K32" s="156"/>
      <c r="L32" s="55" t="s">
        <v>249</v>
      </c>
      <c r="M32" s="157"/>
      <c r="N32" s="131">
        <v>1</v>
      </c>
      <c r="O32" s="111"/>
      <c r="P32" s="109"/>
      <c r="Q32" s="44">
        <f t="shared" si="1"/>
        <v>0.41666666666666669</v>
      </c>
      <c r="R32" s="44">
        <f t="shared" si="2"/>
        <v>0.85416666666666663</v>
      </c>
      <c r="S32" s="45">
        <f>IF(I32="","",IF(I32&lt;800,TRUNC((I32+2400)/100),TRUNC(I32/100)))</f>
        <v>10</v>
      </c>
      <c r="T32" s="45">
        <f t="shared" si="4"/>
        <v>0</v>
      </c>
      <c r="U32" s="45">
        <f>IF(J32="","",IF(J32&lt;900,TRUNC((J32+2400)/100),TRUNC(J32/100)))</f>
        <v>20</v>
      </c>
      <c r="V32" s="45">
        <f>IF(J32="","",MOD(J32,100))</f>
        <v>30</v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>
        <f>IF(AND(I32&lt;&gt;"",J32&lt;&gt;""),TIME(,timecheck1(S32,T32,U32,V32,17),),"")</f>
        <v>0.375</v>
      </c>
      <c r="AD32" s="44">
        <f>IF(AND(I32&lt;&gt;"",J32&lt;&gt;""),TIME(,timecheck1(S32,T32,U32,V32,9),),"")</f>
        <v>0.29166666666666669</v>
      </c>
      <c r="AE32" s="44">
        <f>IF(AND(I32&lt;&gt;"",J32&lt;&gt;""),TIME(,timecheck1(S32,T32,U32,V32,0),),"")</f>
        <v>0</v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>
        <f>IF(AND(I32&lt;&gt;"",J32&lt;&gt;""),TIME(,timecheck2(S32,T32,U32,V32,17),),"")</f>
        <v>6.25E-2</v>
      </c>
      <c r="AJ32" s="44">
        <f>IF(AND(I32&lt;&gt;"",J32&lt;&gt;""),TIME(,timecheck2(S32,T32,U32,V32,9),),"")</f>
        <v>6.25E-2</v>
      </c>
      <c r="AK32" s="44">
        <f>IF(AND(AM32&lt;&gt;"",OR(B32="",B32="B",B32="I",B32="K",B32="L",B32="M"),AM32&lt;&gt;TIME(8,0,0)),AM32-TIME(8,0,0),IF(B32="E",-TIME(8,0,0),""))</f>
        <v>4.1666666666666685E-2</v>
      </c>
      <c r="AL32" s="44" t="str">
        <f t="shared" si="19"/>
        <v/>
      </c>
      <c r="AM32" s="46">
        <f>IF(AC32&lt;&gt;"",IF(AF32&lt;&gt;"",AC32-AF32,AC32),"")</f>
        <v>0.375</v>
      </c>
      <c r="AN32" s="46">
        <f t="shared" si="21"/>
        <v>0.29166666666666669</v>
      </c>
      <c r="AO32" s="46">
        <f>IF(AE32&lt;&gt;"",IF(AH32&lt;&gt;"",AE32-AH32,AE32),"")</f>
        <v>0</v>
      </c>
      <c r="AP32" s="46">
        <f>IF(K32&lt;&gt;"",TIME(,timecheck6(S32,T32,U32,V32,Y32,Z32,AA32,AB32,7),),TIME(,timecheck1(S32,T32,U32,V32,7),))</f>
        <v>8.3333333333333329E-2</v>
      </c>
      <c r="AQ32" s="46">
        <f t="shared" si="24"/>
        <v>0.20833333333333334</v>
      </c>
      <c r="AR32" s="44"/>
      <c r="AS32" s="46"/>
      <c r="AT32" s="57"/>
    </row>
    <row r="33" spans="1:46" ht="13.5">
      <c r="A33" s="54" t="str">
        <f t="shared" si="0"/>
        <v>A</v>
      </c>
      <c r="B33" s="54" t="str">
        <f>IF(H33&lt;&gt;"",IF(A33="A",HLOOKUP(H33,共通!$Q$4:$AO$11,7,FALSE),HLOOKUP(H33,共通!$Q$4:$AO$11,8,FALSE)),"")</f>
        <v/>
      </c>
      <c r="C33" s="54"/>
      <c r="D33" s="54">
        <v>0</v>
      </c>
      <c r="E33" s="38">
        <v>13</v>
      </c>
      <c r="F33" s="50">
        <v>5</v>
      </c>
      <c r="G33" s="39"/>
      <c r="H33" s="112"/>
      <c r="I33" s="110">
        <v>1000</v>
      </c>
      <c r="J33" s="110">
        <v>2000</v>
      </c>
      <c r="K33" s="156"/>
      <c r="L33" s="55" t="s">
        <v>249</v>
      </c>
      <c r="M33" s="157"/>
      <c r="N33" s="131">
        <v>1</v>
      </c>
      <c r="O33" s="111"/>
      <c r="P33" s="109"/>
      <c r="Q33" s="44">
        <f t="shared" si="1"/>
        <v>0.41666666666666669</v>
      </c>
      <c r="R33" s="44">
        <f t="shared" si="2"/>
        <v>0.83333333333333337</v>
      </c>
      <c r="S33" s="45">
        <f t="shared" si="3"/>
        <v>10</v>
      </c>
      <c r="T33" s="45">
        <f t="shared" si="4"/>
        <v>0</v>
      </c>
      <c r="U33" s="45">
        <f t="shared" si="5"/>
        <v>20</v>
      </c>
      <c r="V33" s="45">
        <f t="shared" si="6"/>
        <v>0</v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>
        <f>IF(AND(I33&lt;&gt;"",J33&lt;&gt;""),TIME(,timecheck1(S33,T33,U33,V33,17),),"")</f>
        <v>0.35416666666666669</v>
      </c>
      <c r="AD33" s="44">
        <f>IF(AND(I33&lt;&gt;"",J33&lt;&gt;""),TIME(,timecheck1(S33,T33,U33,V33,9),),"")</f>
        <v>0.29166666666666669</v>
      </c>
      <c r="AE33" s="44">
        <f>IF(AND(I33&lt;&gt;"",J33&lt;&gt;""),TIME(,timecheck1(S33,T33,U33,V33,0),),"")</f>
        <v>0</v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>
        <f t="shared" si="16"/>
        <v>6.25E-2</v>
      </c>
      <c r="AJ33" s="44">
        <f t="shared" si="17"/>
        <v>6.25E-2</v>
      </c>
      <c r="AK33" s="44">
        <f t="shared" si="18"/>
        <v>2.083333333333337E-2</v>
      </c>
      <c r="AL33" s="44" t="str">
        <f t="shared" si="19"/>
        <v/>
      </c>
      <c r="AM33" s="46">
        <f t="shared" si="20"/>
        <v>0.35416666666666669</v>
      </c>
      <c r="AN33" s="46">
        <f t="shared" si="21"/>
        <v>0.29166666666666669</v>
      </c>
      <c r="AO33" s="46">
        <f t="shared" si="22"/>
        <v>0</v>
      </c>
      <c r="AP33" s="46">
        <f t="shared" si="23"/>
        <v>8.3333333333333329E-2</v>
      </c>
      <c r="AQ33" s="46">
        <f t="shared" si="24"/>
        <v>0.20833333333333334</v>
      </c>
      <c r="AR33" s="44"/>
      <c r="AS33" s="46"/>
      <c r="AT33" s="57"/>
    </row>
    <row r="34" spans="1:46" ht="13.5">
      <c r="A34" s="54" t="str">
        <f t="shared" si="0"/>
        <v>A</v>
      </c>
      <c r="B34" s="54" t="str">
        <f>IF(H34&lt;&gt;"",IF(A34="A",HLOOKUP(H34,共通!$Q$4:$AO$11,7,FALSE),HLOOKUP(H34,共通!$Q$4:$AO$11,8,FALSE)),"")</f>
        <v>D</v>
      </c>
      <c r="C34" s="54"/>
      <c r="D34" s="54">
        <v>0</v>
      </c>
      <c r="E34" s="38">
        <v>14</v>
      </c>
      <c r="F34" s="50">
        <v>6</v>
      </c>
      <c r="G34" s="39"/>
      <c r="H34" s="112" t="s">
        <v>279</v>
      </c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>A</v>
      </c>
      <c r="B35" s="54" t="str">
        <f>IF(H35&lt;&gt;"",IF(A35="A",HLOOKUP(H35,共通!$Q$4:$AO$11,7,FALSE),HLOOKUP(H35,共通!$Q$4:$AO$11,8,FALSE)),"")</f>
        <v/>
      </c>
      <c r="C35" s="54"/>
      <c r="D35" s="54">
        <v>0</v>
      </c>
      <c r="E35" s="38">
        <v>15</v>
      </c>
      <c r="F35" s="50">
        <v>7</v>
      </c>
      <c r="G35" s="39"/>
      <c r="H35" s="112"/>
      <c r="I35" s="110">
        <v>1000</v>
      </c>
      <c r="J35" s="110">
        <v>2000</v>
      </c>
      <c r="K35" s="156"/>
      <c r="L35" s="55" t="s">
        <v>249</v>
      </c>
      <c r="M35" s="157"/>
      <c r="N35" s="131">
        <v>1</v>
      </c>
      <c r="O35" s="111"/>
      <c r="P35" s="109"/>
      <c r="Q35" s="44">
        <f t="shared" si="1"/>
        <v>0.41666666666666669</v>
      </c>
      <c r="R35" s="44">
        <f t="shared" si="2"/>
        <v>0.83333333333333337</v>
      </c>
      <c r="S35" s="45">
        <f t="shared" si="3"/>
        <v>10</v>
      </c>
      <c r="T35" s="45">
        <f t="shared" si="4"/>
        <v>0</v>
      </c>
      <c r="U35" s="45">
        <f t="shared" si="5"/>
        <v>20</v>
      </c>
      <c r="V35" s="45">
        <f t="shared" si="6"/>
        <v>0</v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>
        <f>IF(AND(I35&lt;&gt;"",J35&lt;&gt;""),TIME(,timecheck1(S35,T35,U35,V35,17),),"")</f>
        <v>0.35416666666666669</v>
      </c>
      <c r="AD35" s="44">
        <f>IF(AND(I35&lt;&gt;"",J35&lt;&gt;""),TIME(,timecheck1(S35,T35,U35,V35,9),),"")</f>
        <v>0.29166666666666669</v>
      </c>
      <c r="AE35" s="44">
        <f>IF(AND(I35&lt;&gt;"",J35&lt;&gt;""),TIME(,timecheck1(S35,T35,U35,V35,0),),"")</f>
        <v>0</v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>
        <f t="shared" si="16"/>
        <v>6.25E-2</v>
      </c>
      <c r="AJ35" s="44">
        <f t="shared" si="17"/>
        <v>6.25E-2</v>
      </c>
      <c r="AK35" s="44">
        <f t="shared" si="18"/>
        <v>2.083333333333337E-2</v>
      </c>
      <c r="AL35" s="44" t="str">
        <f t="shared" si="19"/>
        <v/>
      </c>
      <c r="AM35" s="46">
        <f t="shared" si="20"/>
        <v>0.35416666666666669</v>
      </c>
      <c r="AN35" s="46">
        <f t="shared" si="21"/>
        <v>0.29166666666666669</v>
      </c>
      <c r="AO35" s="46">
        <f t="shared" si="22"/>
        <v>0</v>
      </c>
      <c r="AP35" s="46">
        <f t="shared" si="23"/>
        <v>8.3333333333333329E-2</v>
      </c>
      <c r="AQ35" s="46">
        <f t="shared" si="24"/>
        <v>0.20833333333333334</v>
      </c>
      <c r="AR35" s="44"/>
      <c r="AS35" s="46"/>
      <c r="AT35" s="57"/>
    </row>
    <row r="36" spans="1:46" ht="13.5">
      <c r="A36" s="54" t="str">
        <f t="shared" si="0"/>
        <v/>
      </c>
      <c r="B36" s="54" t="str">
        <f>IF(H36&lt;&gt;"",IF(A36="A",HLOOKUP(H36,共通!$Q$4:$AO$11,7,FALSE),HLOOKUP(H36,共通!$Q$4:$AO$11,8,FALSE)),"")</f>
        <v/>
      </c>
      <c r="C36" s="54"/>
      <c r="D36" s="54">
        <v>1</v>
      </c>
      <c r="E36" s="38">
        <v>16</v>
      </c>
      <c r="F36" s="50">
        <v>8</v>
      </c>
      <c r="G36" s="39"/>
      <c r="H36" s="112"/>
      <c r="I36" s="110"/>
      <c r="J36" s="110"/>
      <c r="K36" s="156"/>
      <c r="L36" s="55" t="s">
        <v>249</v>
      </c>
      <c r="M36" s="157"/>
      <c r="N36" s="131"/>
      <c r="O36" s="111"/>
      <c r="P36" s="109"/>
      <c r="Q36" s="44" t="str">
        <f t="shared" si="1"/>
        <v/>
      </c>
      <c r="R36" s="44" t="str">
        <f t="shared" si="2"/>
        <v/>
      </c>
      <c r="S36" s="45" t="str">
        <f t="shared" si="3"/>
        <v/>
      </c>
      <c r="T36" s="45" t="str">
        <f t="shared" si="4"/>
        <v/>
      </c>
      <c r="U36" s="45" t="str">
        <f t="shared" si="5"/>
        <v/>
      </c>
      <c r="V36" s="45" t="str">
        <f t="shared" si="6"/>
        <v/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 t="str">
        <f>IF(AND(I36&lt;&gt;"",J36&lt;&gt;""),TIME(,timecheck1(S36,T36,U36,V36,17),),"")</f>
        <v/>
      </c>
      <c r="AD36" s="44" t="str">
        <f>IF(AND(I36&lt;&gt;"",J36&lt;&gt;""),TIME(,timecheck1(S36,T36,U36,V36,9),),"")</f>
        <v/>
      </c>
      <c r="AE36" s="44" t="str">
        <f>IF(AND(I36&lt;&gt;"",J36&lt;&gt;""),TIME(,timecheck1(S36,T36,U36,V36,0),),"")</f>
        <v/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 t="str">
        <f t="shared" si="16"/>
        <v/>
      </c>
      <c r="AJ36" s="44" t="str">
        <f t="shared" si="17"/>
        <v/>
      </c>
      <c r="AK36" s="44" t="str">
        <f t="shared" si="18"/>
        <v/>
      </c>
      <c r="AL36" s="44" t="str">
        <f t="shared" si="19"/>
        <v/>
      </c>
      <c r="AM36" s="46" t="str">
        <f t="shared" si="20"/>
        <v/>
      </c>
      <c r="AN36" s="46" t="str">
        <f t="shared" si="21"/>
        <v/>
      </c>
      <c r="AO36" s="46" t="str">
        <f t="shared" si="22"/>
        <v/>
      </c>
      <c r="AP36" s="46" t="e">
        <f t="shared" si="23"/>
        <v>#VALUE!</v>
      </c>
      <c r="AQ36" s="46" t="e">
        <f t="shared" si="24"/>
        <v>#VALUE!</v>
      </c>
      <c r="AR36" s="44"/>
      <c r="AS36" s="46"/>
      <c r="AT36" s="57"/>
    </row>
    <row r="37" spans="1:46" ht="13.5">
      <c r="A37" s="54" t="str">
        <f t="shared" si="0"/>
        <v/>
      </c>
      <c r="B37" s="54" t="str">
        <f>IF(H37&lt;&gt;"",IF(A37="A",HLOOKUP(H37,共通!$Q$4:$AO$11,7,FALSE),HLOOKUP(H37,共通!$Q$4:$AO$11,8,FALSE)),"")</f>
        <v/>
      </c>
      <c r="C37" s="54"/>
      <c r="D37" s="54">
        <v>2</v>
      </c>
      <c r="E37" s="38">
        <v>17</v>
      </c>
      <c r="F37" s="50">
        <v>2</v>
      </c>
      <c r="G37" s="39"/>
      <c r="H37" s="112"/>
      <c r="I37" s="110"/>
      <c r="J37" s="110"/>
      <c r="K37" s="156"/>
      <c r="L37" s="55" t="s">
        <v>249</v>
      </c>
      <c r="M37" s="157"/>
      <c r="N37" s="131"/>
      <c r="O37" s="111"/>
      <c r="P37" s="109"/>
      <c r="Q37" s="44" t="str">
        <f t="shared" si="1"/>
        <v/>
      </c>
      <c r="R37" s="44" t="str">
        <f t="shared" si="2"/>
        <v/>
      </c>
      <c r="S37" s="45" t="str">
        <f t="shared" si="3"/>
        <v/>
      </c>
      <c r="T37" s="45" t="str">
        <f t="shared" si="4"/>
        <v/>
      </c>
      <c r="U37" s="45" t="str">
        <f t="shared" si="5"/>
        <v/>
      </c>
      <c r="V37" s="45" t="str">
        <f t="shared" si="6"/>
        <v/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 t="str">
        <f>IF(AND(I37&lt;&gt;"",J37&lt;&gt;""),TIME(,timecheck1(S37,T37,U37,V37,17),),"")</f>
        <v/>
      </c>
      <c r="AD37" s="44" t="str">
        <f>IF(AND(I37&lt;&gt;"",J37&lt;&gt;""),TIME(,timecheck1(S37,T37,U37,V37,9),),"")</f>
        <v/>
      </c>
      <c r="AE37" s="44" t="str">
        <f>IF(AND(I37&lt;&gt;"",J37&lt;&gt;""),TIME(,timecheck1(S37,T37,U37,V37,0),),"")</f>
        <v/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 t="str">
        <f t="shared" si="16"/>
        <v/>
      </c>
      <c r="AJ37" s="44" t="str">
        <f t="shared" si="17"/>
        <v/>
      </c>
      <c r="AK37" s="44" t="str">
        <f t="shared" si="18"/>
        <v/>
      </c>
      <c r="AL37" s="44" t="str">
        <f t="shared" si="19"/>
        <v/>
      </c>
      <c r="AM37" s="46" t="str">
        <f t="shared" si="20"/>
        <v/>
      </c>
      <c r="AN37" s="46" t="str">
        <f t="shared" si="21"/>
        <v/>
      </c>
      <c r="AO37" s="46" t="str">
        <f t="shared" si="22"/>
        <v/>
      </c>
      <c r="AP37" s="46" t="e">
        <f t="shared" si="23"/>
        <v>#VALUE!</v>
      </c>
      <c r="AQ37" s="46" t="e">
        <f t="shared" si="24"/>
        <v>#VALUE!</v>
      </c>
      <c r="AR37" s="44"/>
      <c r="AS37" s="46"/>
      <c r="AT37" s="57"/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>D</v>
      </c>
      <c r="C38" s="54"/>
      <c r="D38" s="54">
        <v>0</v>
      </c>
      <c r="E38" s="38">
        <v>18</v>
      </c>
      <c r="F38" s="50">
        <v>3</v>
      </c>
      <c r="G38" s="39"/>
      <c r="H38" s="112" t="s">
        <v>279</v>
      </c>
      <c r="I38" s="110"/>
      <c r="J38" s="110"/>
      <c r="K38" s="156"/>
      <c r="L38" s="55" t="s">
        <v>249</v>
      </c>
      <c r="M38" s="157"/>
      <c r="N38" s="131"/>
      <c r="O38" s="111"/>
      <c r="P38" s="109"/>
      <c r="Q38" s="44" t="str">
        <f t="shared" si="1"/>
        <v/>
      </c>
      <c r="R38" s="44" t="str">
        <f t="shared" si="2"/>
        <v/>
      </c>
      <c r="S38" s="45" t="str">
        <f t="shared" si="3"/>
        <v/>
      </c>
      <c r="T38" s="45" t="str">
        <f t="shared" si="4"/>
        <v/>
      </c>
      <c r="U38" s="45" t="str">
        <f t="shared" si="5"/>
        <v/>
      </c>
      <c r="V38" s="45" t="str">
        <f t="shared" si="6"/>
        <v/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 t="str">
        <f>IF(AND(I38&lt;&gt;"",J38&lt;&gt;""),TIME(,timecheck1(S38,T38,U38,V38,17),),"")</f>
        <v/>
      </c>
      <c r="AD38" s="44" t="str">
        <f>IF(AND(I38&lt;&gt;"",J38&lt;&gt;""),TIME(,timecheck1(S38,T38,U38,V38,9),),"")</f>
        <v/>
      </c>
      <c r="AE38" s="44" t="str">
        <f>IF(AND(I38&lt;&gt;"",J38&lt;&gt;""),TIME(,timecheck1(S38,T38,U38,V38,0),),"")</f>
        <v/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 t="str">
        <f t="shared" si="16"/>
        <v/>
      </c>
      <c r="AJ38" s="44" t="str">
        <f t="shared" si="17"/>
        <v/>
      </c>
      <c r="AK38" s="44" t="str">
        <f t="shared" si="18"/>
        <v/>
      </c>
      <c r="AL38" s="44" t="str">
        <f t="shared" si="19"/>
        <v/>
      </c>
      <c r="AM38" s="46" t="str">
        <f t="shared" si="20"/>
        <v/>
      </c>
      <c r="AN38" s="46" t="str">
        <f t="shared" si="21"/>
        <v/>
      </c>
      <c r="AO38" s="46" t="str">
        <f t="shared" si="22"/>
        <v/>
      </c>
      <c r="AP38" s="46" t="e">
        <f t="shared" si="23"/>
        <v>#VALUE!</v>
      </c>
      <c r="AQ38" s="46" t="e">
        <f t="shared" si="24"/>
        <v>#VALUE!</v>
      </c>
      <c r="AR38" s="44"/>
      <c r="AS38" s="46"/>
      <c r="AT38" s="57"/>
    </row>
    <row r="39" spans="1:46" ht="13.5">
      <c r="A39" s="54" t="str">
        <f t="shared" si="0"/>
        <v>A</v>
      </c>
      <c r="B39" s="54" t="str">
        <f>IF(H39&lt;&gt;"",IF(A39="A",HLOOKUP(H39,共通!$Q$4:$AO$11,7,FALSE),HLOOKUP(H39,共通!$Q$4:$AO$11,8,FALSE)),"")</f>
        <v/>
      </c>
      <c r="C39" s="54"/>
      <c r="D39" s="54">
        <v>0</v>
      </c>
      <c r="E39" s="38">
        <v>19</v>
      </c>
      <c r="F39" s="50">
        <v>4</v>
      </c>
      <c r="G39" s="39"/>
      <c r="H39" s="112"/>
      <c r="I39" s="110">
        <v>900</v>
      </c>
      <c r="J39" s="110">
        <v>2000</v>
      </c>
      <c r="K39" s="156"/>
      <c r="L39" s="55" t="s">
        <v>249</v>
      </c>
      <c r="M39" s="157"/>
      <c r="N39" s="131">
        <v>1</v>
      </c>
      <c r="O39" s="111"/>
      <c r="P39" s="109"/>
      <c r="Q39" s="44">
        <f t="shared" si="1"/>
        <v>0.375</v>
      </c>
      <c r="R39" s="44">
        <f t="shared" si="2"/>
        <v>0.83333333333333337</v>
      </c>
      <c r="S39" s="45">
        <f t="shared" si="3"/>
        <v>9</v>
      </c>
      <c r="T39" s="45">
        <f t="shared" si="4"/>
        <v>0</v>
      </c>
      <c r="U39" s="45">
        <f t="shared" si="5"/>
        <v>20</v>
      </c>
      <c r="V39" s="45">
        <f t="shared" si="6"/>
        <v>0</v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>
        <f>IF(AND(I39&lt;&gt;"",J39&lt;&gt;""),TIME(,timecheck1(S39,T39,U39,V39,17),),"")</f>
        <v>0.39583333333333331</v>
      </c>
      <c r="AD39" s="44">
        <f>IF(AND(I39&lt;&gt;"",J39&lt;&gt;""),TIME(,timecheck1(S39,T39,U39,V39,9),),"")</f>
        <v>0.33333333333333331</v>
      </c>
      <c r="AE39" s="44">
        <f>IF(AND(I39&lt;&gt;"",J39&lt;&gt;""),TIME(,timecheck1(S39,T39,U39,V39,0),),"")</f>
        <v>0</v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>
        <f t="shared" si="16"/>
        <v>6.25E-2</v>
      </c>
      <c r="AJ39" s="44">
        <f t="shared" si="17"/>
        <v>6.25E-2</v>
      </c>
      <c r="AK39" s="44">
        <f t="shared" si="18"/>
        <v>6.25E-2</v>
      </c>
      <c r="AL39" s="44" t="str">
        <f t="shared" si="19"/>
        <v/>
      </c>
      <c r="AM39" s="46">
        <f t="shared" si="20"/>
        <v>0.39583333333333331</v>
      </c>
      <c r="AN39" s="46">
        <f t="shared" si="21"/>
        <v>0.33333333333333331</v>
      </c>
      <c r="AO39" s="46">
        <f t="shared" si="22"/>
        <v>0</v>
      </c>
      <c r="AP39" s="46">
        <f t="shared" si="23"/>
        <v>0.125</v>
      </c>
      <c r="AQ39" s="46">
        <f t="shared" si="24"/>
        <v>0.20833333333333334</v>
      </c>
      <c r="AR39" s="44"/>
      <c r="AS39" s="46"/>
      <c r="AT39" s="57"/>
    </row>
    <row r="40" spans="1:46" ht="13.5">
      <c r="A40" s="54" t="str">
        <f t="shared" si="0"/>
        <v>A</v>
      </c>
      <c r="B40" s="54" t="str">
        <f>IF(H40&lt;&gt;"",IF(A40="A",HLOOKUP(H40,共通!$Q$4:$AO$11,7,FALSE),HLOOKUP(H40,共通!$Q$4:$AO$11,8,FALSE)),"")</f>
        <v>D</v>
      </c>
      <c r="C40" s="54"/>
      <c r="D40" s="54">
        <v>0</v>
      </c>
      <c r="E40" s="38">
        <v>20</v>
      </c>
      <c r="F40" s="50">
        <v>5</v>
      </c>
      <c r="G40" s="39"/>
      <c r="H40" s="112" t="s">
        <v>279</v>
      </c>
      <c r="I40" s="110"/>
      <c r="J40" s="110"/>
      <c r="K40" s="156"/>
      <c r="L40" s="55" t="s">
        <v>249</v>
      </c>
      <c r="M40" s="157"/>
      <c r="N40" s="131"/>
      <c r="O40" s="111"/>
      <c r="P40" s="147"/>
      <c r="Q40" s="44" t="str">
        <f t="shared" si="1"/>
        <v/>
      </c>
      <c r="R40" s="44" t="str">
        <f t="shared" si="2"/>
        <v/>
      </c>
      <c r="S40" s="45" t="str">
        <f t="shared" si="3"/>
        <v/>
      </c>
      <c r="T40" s="45" t="str">
        <f t="shared" si="4"/>
        <v/>
      </c>
      <c r="U40" s="45" t="str">
        <f t="shared" si="5"/>
        <v/>
      </c>
      <c r="V40" s="45" t="str">
        <f t="shared" si="6"/>
        <v/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 t="str">
        <f>IF(AND(I40&lt;&gt;"",J40&lt;&gt;""),TIME(,timecheck1(S40,T40,U40,V40,17),),"")</f>
        <v/>
      </c>
      <c r="AD40" s="44" t="str">
        <f>IF(AND(I40&lt;&gt;"",J40&lt;&gt;""),TIME(,timecheck1(S40,T40,U40,V40,9),),"")</f>
        <v/>
      </c>
      <c r="AE40" s="44" t="str">
        <f>IF(AND(I40&lt;&gt;"",J40&lt;&gt;""),TIME(,timecheck1(S40,T40,U40,V40,0),),"")</f>
        <v/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 t="str">
        <f t="shared" si="16"/>
        <v/>
      </c>
      <c r="AJ40" s="44" t="str">
        <f t="shared" si="17"/>
        <v/>
      </c>
      <c r="AK40" s="44" t="str">
        <f t="shared" si="18"/>
        <v/>
      </c>
      <c r="AL40" s="44" t="str">
        <f t="shared" si="19"/>
        <v/>
      </c>
      <c r="AM40" s="46" t="str">
        <f t="shared" si="20"/>
        <v/>
      </c>
      <c r="AN40" s="46" t="str">
        <f t="shared" si="21"/>
        <v/>
      </c>
      <c r="AO40" s="46" t="str">
        <f t="shared" si="22"/>
        <v/>
      </c>
      <c r="AP40" s="46" t="e">
        <f t="shared" si="23"/>
        <v>#VALUE!</v>
      </c>
      <c r="AQ40" s="46" t="e">
        <f t="shared" si="24"/>
        <v>#VALUE!</v>
      </c>
      <c r="AR40" s="44"/>
      <c r="AS40" s="46"/>
      <c r="AT40" s="57"/>
    </row>
    <row r="41" spans="1:46" ht="13.5">
      <c r="A41" s="54" t="str">
        <f t="shared" si="0"/>
        <v/>
      </c>
      <c r="B41" s="54" t="str">
        <f>IF(H41&lt;&gt;"",IF(A41="A",HLOOKUP(H41,共通!$Q$4:$AO$11,7,FALSE),HLOOKUP(H41,共通!$Q$4:$AO$11,8,FALSE)),"")</f>
        <v/>
      </c>
      <c r="C41" s="54"/>
      <c r="D41" s="54"/>
      <c r="E41" s="38"/>
      <c r="F41" s="50"/>
      <c r="G41" s="39"/>
      <c r="H41" s="112"/>
      <c r="I41" s="110"/>
      <c r="J41" s="110"/>
      <c r="K41" s="156"/>
      <c r="L41" s="55" t="s">
        <v>249</v>
      </c>
      <c r="M41" s="157"/>
      <c r="N41" s="131"/>
      <c r="O41" s="111"/>
      <c r="P41" s="109"/>
      <c r="Q41" s="44" t="str">
        <f t="shared" si="1"/>
        <v/>
      </c>
      <c r="R41" s="44" t="str">
        <f t="shared" si="2"/>
        <v/>
      </c>
      <c r="S41" s="45" t="str">
        <f t="shared" si="3"/>
        <v/>
      </c>
      <c r="T41" s="45" t="str">
        <f t="shared" si="4"/>
        <v/>
      </c>
      <c r="U41" s="45" t="str">
        <f t="shared" si="5"/>
        <v/>
      </c>
      <c r="V41" s="45" t="str">
        <f t="shared" si="6"/>
        <v/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 t="str">
        <f>IF(AND(I41&lt;&gt;"",J41&lt;&gt;""),TIME(,timecheck1(S41,T41,U41,V41,17),),"")</f>
        <v/>
      </c>
      <c r="AD41" s="44" t="str">
        <f>IF(AND(I41&lt;&gt;"",J41&lt;&gt;""),TIME(,timecheck1(S41,T41,U41,V41,9),),"")</f>
        <v/>
      </c>
      <c r="AE41" s="44" t="str">
        <f>IF(AND(I41&lt;&gt;"",J41&lt;&gt;""),TIME(,timecheck1(S41,T41,U41,V41,0),),"")</f>
        <v/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 t="str">
        <f t="shared" si="16"/>
        <v/>
      </c>
      <c r="AJ41" s="44" t="str">
        <f t="shared" si="17"/>
        <v/>
      </c>
      <c r="AK41" s="44" t="str">
        <f t="shared" si="18"/>
        <v/>
      </c>
      <c r="AL41" s="44" t="str">
        <f t="shared" si="19"/>
        <v/>
      </c>
      <c r="AM41" s="46" t="str">
        <f t="shared" si="20"/>
        <v/>
      </c>
      <c r="AN41" s="46" t="str">
        <f t="shared" si="21"/>
        <v/>
      </c>
      <c r="AO41" s="46" t="str">
        <f t="shared" si="22"/>
        <v/>
      </c>
      <c r="AP41" s="46" t="e">
        <f t="shared" si="23"/>
        <v>#VALUE!</v>
      </c>
      <c r="AQ41" s="46" t="e">
        <f t="shared" si="24"/>
        <v>#VALUE!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18</v>
      </c>
      <c r="K43" s="118" t="s">
        <v>54</v>
      </c>
      <c r="L43" s="9"/>
      <c r="M43" s="282" t="s">
        <v>185</v>
      </c>
      <c r="N43" s="282"/>
      <c r="O43" s="133">
        <f>J45*TIME(8,0,0)</f>
        <v>6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18</v>
      </c>
      <c r="K44" s="123" t="s">
        <v>54</v>
      </c>
      <c r="M44" s="283" t="s">
        <v>186</v>
      </c>
      <c r="N44" s="283"/>
      <c r="O44" s="129">
        <f>SUM(AM11:AM41)</f>
        <v>7.0347222222222223</v>
      </c>
      <c r="P44" s="150"/>
      <c r="AF44" s="62">
        <f>COUNTIF($B$11:$B$41,"H")</f>
        <v>0</v>
      </c>
      <c r="AI44" s="63">
        <f>COUNTIF($B$11:$B$41,"I")+COUNTIF($B$11:$B$41,"K")+COUNTIF($B$11:$B$41,"M")</f>
        <v>3</v>
      </c>
      <c r="AJ44" s="58"/>
      <c r="AK44" s="63">
        <f>COUNTIF($B$11:$B$41,"D")</f>
        <v>3</v>
      </c>
      <c r="AL44" s="63">
        <f>COUNTIF($B$11:$B$41,"C")</f>
        <v>0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18</v>
      </c>
      <c r="K45" s="123" t="s">
        <v>54</v>
      </c>
      <c r="M45" s="283" t="s">
        <v>187</v>
      </c>
      <c r="N45" s="283"/>
      <c r="O45" s="129">
        <f>SUM(AK11:AK41)</f>
        <v>1.0347222222222225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18</v>
      </c>
      <c r="K46" s="123" t="s">
        <v>54</v>
      </c>
      <c r="M46" s="284" t="s">
        <v>188</v>
      </c>
      <c r="N46" s="285"/>
      <c r="O46" s="129">
        <f>SUM(AL11:AL41)</f>
        <v>0</v>
      </c>
      <c r="P46" s="159" t="s">
        <v>278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0</v>
      </c>
      <c r="K47" s="123" t="s">
        <v>68</v>
      </c>
      <c r="M47" s="281" t="s">
        <v>184</v>
      </c>
      <c r="N47" s="281"/>
      <c r="O47" s="130">
        <f>SUM(AO11:AO41)</f>
        <v>0.2638888888888889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3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0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H6:M6"/>
    <mergeCell ref="N6:O6"/>
    <mergeCell ref="K10:M10"/>
    <mergeCell ref="M47:N47"/>
    <mergeCell ref="M43:N43"/>
    <mergeCell ref="M44:N44"/>
    <mergeCell ref="M45:N45"/>
    <mergeCell ref="M46:N46"/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2" r:id="rId4" name="CheckBox3">
          <controlPr defaultSize="0" autoLine="0" r:id="rId5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4" name="CheckBox3"/>
      </mc:Fallback>
    </mc:AlternateContent>
    <mc:AlternateContent xmlns:mc="http://schemas.openxmlformats.org/markup-compatibility/2006">
      <mc:Choice Requires="x14">
        <control shapeId="99331" r:id="rId6" name="CheckBox2">
          <controlPr defaultSize="0" autoLine="0" r:id="rId7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6" name="CheckBox2"/>
      </mc:Fallback>
    </mc:AlternateContent>
    <mc:AlternateContent xmlns:mc="http://schemas.openxmlformats.org/markup-compatibility/2006">
      <mc:Choice Requires="x14">
        <control shapeId="99330" r:id="rId8" name="CheckBox1">
          <controlPr defaultSize="0" autoLine="0" r:id="rId9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8" name="CheckBox1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2020-05-21T02:06:01Z</dcterms:modified>
</cp:coreProperties>
</file>