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ate1904="1" showObjects="placeholders" codeName="ThisWorkbook"/>
  <mc:AlternateContent xmlns:mc="http://schemas.openxmlformats.org/markup-compatibility/2006">
    <mc:Choice Requires="x15">
      <x15ac:absPath xmlns:x15ac="http://schemas.microsoft.com/office/spreadsheetml/2010/11/ac" url="\\10.177.108.25\catb4$\パートナー\NTTD-BS\02_共有\協力会社用\AGU\01.勤怠関連\2020年\05月度\"/>
    </mc:Choice>
  </mc:AlternateContent>
  <bookViews>
    <workbookView xWindow="1080" yWindow="0" windowWidth="19410" windowHeight="7650" tabRatio="753" firstSheet="2" activeTab="3"/>
  </bookViews>
  <sheets>
    <sheet name="共通" sheetId="28" state="hidden" r:id="rId1"/>
    <sheet name="チェック内容" sheetId="50" state="hidden" r:id="rId2"/>
    <sheet name="印刷用" sheetId="51" r:id="rId3"/>
    <sheet name="入力用" sheetId="75" r:id="rId4"/>
    <sheet name="バージョン" sheetId="76" state="hidden" r:id="rId5"/>
  </sheets>
  <functionGroups builtInGroupCount="18"/>
  <definedNames>
    <definedName name="_xlnm._FilterDatabase" localSheetId="3" hidden="1">入力用!$H$11:$H$11</definedName>
    <definedName name="pdate" localSheetId="3">入力用!$E$11:$E$41</definedName>
    <definedName name="pdate">#REF!</definedName>
    <definedName name="pdayarea" localSheetId="3">入力用!$D$11:$G$41</definedName>
    <definedName name="pdayarea">#REF!</definedName>
    <definedName name="pmonth" localSheetId="3">入力用!$I$8</definedName>
    <definedName name="pmonth">#REF!</definedName>
    <definedName name="_xlnm.Print_Area" localSheetId="2">印刷用!$A$1:$AC$46</definedName>
    <definedName name="pyear" localSheetId="3">入力用!$E$8</definedName>
    <definedName name="pyear">#REF!</definedName>
  </definedNames>
  <calcPr calcId="162913"/>
</workbook>
</file>

<file path=xl/calcChain.xml><?xml version="1.0" encoding="utf-8"?>
<calcChain xmlns="http://schemas.openxmlformats.org/spreadsheetml/2006/main">
  <c r="R32" i="75" l="1"/>
  <c r="V32" i="75"/>
  <c r="U32" i="75"/>
  <c r="S32" i="75"/>
  <c r="A11" i="75"/>
  <c r="B11" i="75"/>
  <c r="Q11" i="75"/>
  <c r="R11" i="75"/>
  <c r="S11" i="75"/>
  <c r="T11" i="75"/>
  <c r="U11" i="75"/>
  <c r="V11" i="75"/>
  <c r="W11" i="75"/>
  <c r="X11" i="75"/>
  <c r="Y11" i="75"/>
  <c r="Z11" i="75"/>
  <c r="AA11" i="75"/>
  <c r="AB11" i="75"/>
  <c r="AF11" i="75"/>
  <c r="AG11" i="75"/>
  <c r="AH11" i="75"/>
  <c r="A12" i="75"/>
  <c r="B12" i="75"/>
  <c r="Q12" i="75"/>
  <c r="R12" i="75"/>
  <c r="S12" i="75"/>
  <c r="T12" i="75"/>
  <c r="U12" i="75"/>
  <c r="V12" i="75"/>
  <c r="W12" i="75"/>
  <c r="X12" i="75"/>
  <c r="Y12" i="75"/>
  <c r="Z12" i="75"/>
  <c r="AA12" i="75"/>
  <c r="AB12" i="75"/>
  <c r="AF12" i="75"/>
  <c r="AG12" i="75"/>
  <c r="AH12" i="75"/>
  <c r="A13" i="75"/>
  <c r="B13" i="75"/>
  <c r="Q13" i="75"/>
  <c r="R13" i="75"/>
  <c r="S13" i="75"/>
  <c r="T13" i="75"/>
  <c r="U13" i="75"/>
  <c r="V13" i="75"/>
  <c r="W13" i="75"/>
  <c r="X13" i="75"/>
  <c r="Y13" i="75"/>
  <c r="Z13" i="75"/>
  <c r="AA13" i="75"/>
  <c r="AB13" i="75"/>
  <c r="AF13" i="75"/>
  <c r="AG13" i="75"/>
  <c r="AH13" i="75"/>
  <c r="A14" i="75"/>
  <c r="B14" i="75"/>
  <c r="Q14" i="75"/>
  <c r="R14" i="75"/>
  <c r="S14" i="75"/>
  <c r="T14" i="75"/>
  <c r="U14" i="75"/>
  <c r="V14" i="75"/>
  <c r="W14" i="75"/>
  <c r="X14" i="75"/>
  <c r="Y14" i="75"/>
  <c r="Z14" i="75"/>
  <c r="AA14" i="75"/>
  <c r="AB14" i="75"/>
  <c r="AF14" i="75"/>
  <c r="AG14" i="75"/>
  <c r="AH14" i="75"/>
  <c r="A15" i="75"/>
  <c r="B15" i="75"/>
  <c r="Q15" i="75"/>
  <c r="R15" i="75"/>
  <c r="S15" i="75"/>
  <c r="T15" i="75"/>
  <c r="U15" i="75"/>
  <c r="V15" i="75"/>
  <c r="W15" i="75"/>
  <c r="X15" i="75"/>
  <c r="Y15" i="75"/>
  <c r="Z15" i="75"/>
  <c r="AA15" i="75"/>
  <c r="AB15" i="75"/>
  <c r="AF15" i="75"/>
  <c r="AG15" i="75"/>
  <c r="AH15" i="75"/>
  <c r="A16" i="75"/>
  <c r="B16" i="75"/>
  <c r="Q16" i="75"/>
  <c r="R16" i="75"/>
  <c r="S16" i="75"/>
  <c r="T16" i="75"/>
  <c r="U16" i="75"/>
  <c r="V16" i="75"/>
  <c r="W16" i="75"/>
  <c r="X16" i="75"/>
  <c r="Y16" i="75"/>
  <c r="Z16" i="75"/>
  <c r="AA16" i="75"/>
  <c r="AB16" i="75"/>
  <c r="AF16" i="75"/>
  <c r="AG16" i="75"/>
  <c r="AH16" i="75"/>
  <c r="A17" i="75"/>
  <c r="B17" i="75"/>
  <c r="Q17" i="75"/>
  <c r="R17" i="75"/>
  <c r="S17" i="75"/>
  <c r="T17" i="75"/>
  <c r="U17" i="75"/>
  <c r="V17" i="75"/>
  <c r="W17" i="75"/>
  <c r="X17" i="75"/>
  <c r="Y17" i="75"/>
  <c r="Z17" i="75"/>
  <c r="AA17" i="75"/>
  <c r="AB17" i="75"/>
  <c r="AF17" i="75"/>
  <c r="AG17" i="75"/>
  <c r="AH17" i="75"/>
  <c r="A18" i="75"/>
  <c r="B18" i="75"/>
  <c r="Q18" i="75"/>
  <c r="R18" i="75"/>
  <c r="S18" i="75"/>
  <c r="T18" i="75"/>
  <c r="U18" i="75"/>
  <c r="V18" i="75"/>
  <c r="W18" i="75"/>
  <c r="X18" i="75"/>
  <c r="Y18" i="75"/>
  <c r="Z18" i="75"/>
  <c r="AA18" i="75"/>
  <c r="AB18" i="75"/>
  <c r="AF18" i="75"/>
  <c r="AG18" i="75"/>
  <c r="AH18" i="75"/>
  <c r="A19" i="75"/>
  <c r="B19" i="75"/>
  <c r="Q19" i="75"/>
  <c r="R19" i="75"/>
  <c r="S19" i="75"/>
  <c r="T19" i="75"/>
  <c r="U19" i="75"/>
  <c r="V19" i="75"/>
  <c r="W19" i="75"/>
  <c r="X19" i="75"/>
  <c r="Y19" i="75"/>
  <c r="Z19" i="75"/>
  <c r="AA19" i="75"/>
  <c r="AB19" i="75"/>
  <c r="AF19" i="75"/>
  <c r="AG19" i="75"/>
  <c r="AH19" i="75"/>
  <c r="A20" i="75"/>
  <c r="B20" i="75"/>
  <c r="Q20" i="75"/>
  <c r="R20" i="75"/>
  <c r="S20" i="75"/>
  <c r="T20" i="75"/>
  <c r="U20" i="75"/>
  <c r="V20" i="75"/>
  <c r="W20" i="75"/>
  <c r="X20" i="75"/>
  <c r="Y20" i="75"/>
  <c r="Z20" i="75"/>
  <c r="AA20" i="75"/>
  <c r="AB20" i="75"/>
  <c r="AF20" i="75"/>
  <c r="AG20" i="75"/>
  <c r="AH20" i="75"/>
  <c r="A21" i="75"/>
  <c r="B21" i="75"/>
  <c r="Q21" i="75"/>
  <c r="R21" i="75"/>
  <c r="S21" i="75"/>
  <c r="T21" i="75"/>
  <c r="U21" i="75"/>
  <c r="V21" i="75"/>
  <c r="W21" i="75"/>
  <c r="X21" i="75"/>
  <c r="Y21" i="75"/>
  <c r="Z21" i="75"/>
  <c r="AA21" i="75"/>
  <c r="AB21" i="75"/>
  <c r="AF21" i="75"/>
  <c r="AG21" i="75"/>
  <c r="AH21" i="75"/>
  <c r="A22" i="75"/>
  <c r="B22" i="75"/>
  <c r="Q22" i="75"/>
  <c r="R22" i="75"/>
  <c r="S22" i="75"/>
  <c r="T22" i="75"/>
  <c r="U22" i="75"/>
  <c r="V22" i="75"/>
  <c r="W22" i="75"/>
  <c r="X22" i="75"/>
  <c r="Y22" i="75"/>
  <c r="Z22" i="75"/>
  <c r="AA22" i="75"/>
  <c r="AB22" i="75"/>
  <c r="AF22" i="75"/>
  <c r="AG22" i="75"/>
  <c r="AH22" i="75"/>
  <c r="A23" i="75"/>
  <c r="B23" i="75"/>
  <c r="Q23" i="75"/>
  <c r="R23" i="75"/>
  <c r="S23" i="75"/>
  <c r="T23" i="75"/>
  <c r="U23" i="75"/>
  <c r="V23" i="75"/>
  <c r="W23" i="75"/>
  <c r="X23" i="75"/>
  <c r="Y23" i="75"/>
  <c r="Z23" i="75"/>
  <c r="AA23" i="75"/>
  <c r="AB23" i="75"/>
  <c r="AF23" i="75"/>
  <c r="AG23" i="75"/>
  <c r="AH23" i="75"/>
  <c r="A24" i="75"/>
  <c r="B24" i="75"/>
  <c r="Q24" i="75"/>
  <c r="R24" i="75"/>
  <c r="S24" i="75"/>
  <c r="T24" i="75"/>
  <c r="U24" i="75"/>
  <c r="V24" i="75"/>
  <c r="W24" i="75"/>
  <c r="X24" i="75"/>
  <c r="Y24" i="75"/>
  <c r="Z24" i="75"/>
  <c r="AA24" i="75"/>
  <c r="AB24" i="75"/>
  <c r="AF24" i="75"/>
  <c r="AG24" i="75"/>
  <c r="AH24" i="75"/>
  <c r="A25" i="75"/>
  <c r="B25" i="75"/>
  <c r="Q25" i="75"/>
  <c r="R25" i="75"/>
  <c r="S25" i="75"/>
  <c r="T25" i="75"/>
  <c r="U25" i="75"/>
  <c r="V25" i="75"/>
  <c r="W25" i="75"/>
  <c r="X25" i="75"/>
  <c r="Y25" i="75"/>
  <c r="Z25" i="75"/>
  <c r="AA25" i="75"/>
  <c r="AB25" i="75"/>
  <c r="AF25" i="75"/>
  <c r="AG25" i="75"/>
  <c r="AH25" i="75"/>
  <c r="A26" i="75"/>
  <c r="B26" i="75"/>
  <c r="Q26" i="75"/>
  <c r="R26" i="75"/>
  <c r="S26" i="75"/>
  <c r="T26" i="75"/>
  <c r="U26" i="75"/>
  <c r="V26" i="75"/>
  <c r="W26" i="75"/>
  <c r="X26" i="75"/>
  <c r="Y26" i="75"/>
  <c r="Z26" i="75"/>
  <c r="AA26" i="75"/>
  <c r="AB26" i="75"/>
  <c r="AF26" i="75"/>
  <c r="AG26" i="75"/>
  <c r="AH26" i="75"/>
  <c r="A27" i="75"/>
  <c r="B27" i="75"/>
  <c r="Q27" i="75"/>
  <c r="R27" i="75"/>
  <c r="S27" i="75"/>
  <c r="T27" i="75"/>
  <c r="U27" i="75"/>
  <c r="V27" i="75"/>
  <c r="W27" i="75"/>
  <c r="X27" i="75"/>
  <c r="Y27" i="75"/>
  <c r="Z27" i="75"/>
  <c r="AA27" i="75"/>
  <c r="AB27" i="75"/>
  <c r="AF27" i="75"/>
  <c r="AG27" i="75"/>
  <c r="AH27" i="75"/>
  <c r="A28" i="75"/>
  <c r="B28" i="75"/>
  <c r="Q28" i="75"/>
  <c r="R28" i="75"/>
  <c r="S28" i="75"/>
  <c r="T28" i="75"/>
  <c r="U28" i="75"/>
  <c r="V28" i="75"/>
  <c r="W28" i="75"/>
  <c r="X28" i="75"/>
  <c r="Y28" i="75"/>
  <c r="Z28" i="75"/>
  <c r="AA28" i="75"/>
  <c r="AB28" i="75"/>
  <c r="AF28" i="75"/>
  <c r="AG28" i="75"/>
  <c r="AH28" i="75"/>
  <c r="A29" i="75"/>
  <c r="B29" i="75"/>
  <c r="Q29" i="75"/>
  <c r="R29" i="75"/>
  <c r="S29" i="75"/>
  <c r="T29" i="75"/>
  <c r="U29" i="75"/>
  <c r="V29" i="75"/>
  <c r="W29" i="75"/>
  <c r="X29" i="75"/>
  <c r="Y29" i="75"/>
  <c r="Z29" i="75"/>
  <c r="AA29" i="75"/>
  <c r="AB29" i="75"/>
  <c r="AF29" i="75"/>
  <c r="AG29" i="75"/>
  <c r="AH29" i="75"/>
  <c r="A30" i="75"/>
  <c r="B30" i="75"/>
  <c r="Q30" i="75"/>
  <c r="R30" i="75"/>
  <c r="S30" i="75"/>
  <c r="T30" i="75"/>
  <c r="U30" i="75"/>
  <c r="V30" i="75"/>
  <c r="W30" i="75"/>
  <c r="X30" i="75"/>
  <c r="Y30" i="75"/>
  <c r="Z30" i="75"/>
  <c r="AA30" i="75"/>
  <c r="AB30" i="75"/>
  <c r="AF30" i="75"/>
  <c r="AG30" i="75"/>
  <c r="AH30" i="75"/>
  <c r="A31" i="75"/>
  <c r="B31" i="75"/>
  <c r="Q31" i="75"/>
  <c r="R31" i="75"/>
  <c r="S31" i="75"/>
  <c r="T31" i="75"/>
  <c r="U31" i="75"/>
  <c r="V31" i="75"/>
  <c r="W31" i="75"/>
  <c r="X31" i="75"/>
  <c r="Y31" i="75"/>
  <c r="Z31" i="75"/>
  <c r="AA31" i="75"/>
  <c r="AB31" i="75"/>
  <c r="A32" i="75"/>
  <c r="B32" i="75"/>
  <c r="Q32" i="75"/>
  <c r="T32" i="75"/>
  <c r="W32" i="75"/>
  <c r="X32" i="75"/>
  <c r="Y32" i="75"/>
  <c r="Z32" i="75"/>
  <c r="AA32" i="75"/>
  <c r="AB32" i="75"/>
  <c r="AF32" i="75"/>
  <c r="AG32" i="75"/>
  <c r="AH32" i="75"/>
  <c r="A33" i="75"/>
  <c r="B33" i="75"/>
  <c r="Q33" i="75"/>
  <c r="R33" i="75"/>
  <c r="S33" i="75"/>
  <c r="T33" i="75"/>
  <c r="U33" i="75"/>
  <c r="V33" i="75"/>
  <c r="W33" i="75"/>
  <c r="X33" i="75"/>
  <c r="Y33" i="75"/>
  <c r="Z33" i="75"/>
  <c r="AA33" i="75"/>
  <c r="AB33" i="75"/>
  <c r="A34" i="75"/>
  <c r="B34" i="75"/>
  <c r="Q34" i="75"/>
  <c r="R34" i="75"/>
  <c r="S34" i="75"/>
  <c r="T34" i="75"/>
  <c r="U34" i="75"/>
  <c r="V34" i="75"/>
  <c r="W34" i="75"/>
  <c r="X34" i="75"/>
  <c r="Y34" i="75"/>
  <c r="Z34" i="75"/>
  <c r="AA34" i="75"/>
  <c r="AB34" i="75"/>
  <c r="AF34" i="75"/>
  <c r="AG34" i="75"/>
  <c r="AH34" i="75"/>
  <c r="A35" i="75"/>
  <c r="B35" i="75"/>
  <c r="Q35" i="75"/>
  <c r="R35" i="75"/>
  <c r="S35" i="75"/>
  <c r="T35" i="75"/>
  <c r="U35" i="75"/>
  <c r="V35" i="75"/>
  <c r="W35" i="75"/>
  <c r="X35" i="75"/>
  <c r="Y35" i="75"/>
  <c r="Z35" i="75"/>
  <c r="AA35" i="75"/>
  <c r="AB35" i="75"/>
  <c r="AF35" i="75"/>
  <c r="AG35" i="75"/>
  <c r="AH35" i="75"/>
  <c r="A36" i="75"/>
  <c r="B36" i="75"/>
  <c r="Q36" i="75"/>
  <c r="R36" i="75"/>
  <c r="S36" i="75"/>
  <c r="T36" i="75"/>
  <c r="U36" i="75"/>
  <c r="V36" i="75"/>
  <c r="W36" i="75"/>
  <c r="X36" i="75"/>
  <c r="Y36" i="75"/>
  <c r="Z36" i="75"/>
  <c r="AA36" i="75"/>
  <c r="AB36" i="75"/>
  <c r="AF36" i="75"/>
  <c r="AG36" i="75"/>
  <c r="AH36" i="75"/>
  <c r="A37" i="75"/>
  <c r="B37" i="75"/>
  <c r="Q37" i="75"/>
  <c r="R37" i="75"/>
  <c r="S37" i="75"/>
  <c r="T37" i="75"/>
  <c r="U37" i="75"/>
  <c r="V37" i="75"/>
  <c r="W37" i="75"/>
  <c r="X37" i="75"/>
  <c r="Y37" i="75"/>
  <c r="Z37" i="75"/>
  <c r="AA37" i="75"/>
  <c r="AB37" i="75"/>
  <c r="AF37" i="75"/>
  <c r="AG37" i="75"/>
  <c r="AH37" i="75"/>
  <c r="A38" i="75"/>
  <c r="B38" i="75"/>
  <c r="Q38" i="75"/>
  <c r="R38" i="75"/>
  <c r="S38" i="75"/>
  <c r="T38" i="75"/>
  <c r="U38" i="75"/>
  <c r="V38" i="75"/>
  <c r="W38" i="75"/>
  <c r="X38" i="75"/>
  <c r="Y38" i="75"/>
  <c r="Z38" i="75"/>
  <c r="AA38" i="75"/>
  <c r="AB38" i="75"/>
  <c r="AF38" i="75"/>
  <c r="AG38" i="75"/>
  <c r="AH38" i="75"/>
  <c r="A39" i="75"/>
  <c r="B39" i="75"/>
  <c r="Q39" i="75"/>
  <c r="R39" i="75"/>
  <c r="S39" i="75"/>
  <c r="T39" i="75"/>
  <c r="U39" i="75"/>
  <c r="V39" i="75"/>
  <c r="W39" i="75"/>
  <c r="X39" i="75"/>
  <c r="Y39" i="75"/>
  <c r="Z39" i="75"/>
  <c r="AA39" i="75"/>
  <c r="AB39" i="75"/>
  <c r="AF39" i="75"/>
  <c r="AG39" i="75"/>
  <c r="AH39" i="75"/>
  <c r="A40" i="75"/>
  <c r="B40" i="75"/>
  <c r="Q40" i="75"/>
  <c r="R40" i="75"/>
  <c r="S40" i="75"/>
  <c r="T40" i="75"/>
  <c r="U40" i="75"/>
  <c r="V40" i="75"/>
  <c r="W40" i="75"/>
  <c r="X40" i="75"/>
  <c r="Y40" i="75"/>
  <c r="Z40" i="75"/>
  <c r="AA40" i="75"/>
  <c r="AB40" i="75"/>
  <c r="AF40" i="75"/>
  <c r="AG40" i="75"/>
  <c r="AH40" i="75"/>
  <c r="A41" i="75"/>
  <c r="B41" i="75"/>
  <c r="Q41" i="75"/>
  <c r="R41" i="75"/>
  <c r="S41" i="75"/>
  <c r="T41" i="75"/>
  <c r="U41" i="75"/>
  <c r="V41" i="75"/>
  <c r="W41" i="75"/>
  <c r="X41" i="75"/>
  <c r="Y41" i="75"/>
  <c r="Z41" i="75"/>
  <c r="AA41" i="75"/>
  <c r="AB41" i="75"/>
  <c r="AF41" i="75"/>
  <c r="AG41" i="75"/>
  <c r="AH41" i="75"/>
  <c r="J46" i="75"/>
  <c r="AF46" i="75"/>
  <c r="AI46" i="75"/>
  <c r="AK46" i="75"/>
  <c r="AL46" i="75"/>
  <c r="AM46" i="75"/>
  <c r="AF48" i="75"/>
  <c r="AI48" i="75"/>
  <c r="AK48" i="75"/>
  <c r="AL48" i="75"/>
  <c r="AM48" i="75"/>
  <c r="J49" i="75"/>
  <c r="AF31" i="75"/>
  <c r="AH31" i="75"/>
  <c r="AG31" i="75"/>
  <c r="AF33" i="75"/>
  <c r="AH33" i="75"/>
  <c r="AG33" i="75"/>
  <c r="AC26" i="75"/>
  <c r="AM26" i="75" s="1"/>
  <c r="AE26" i="75"/>
  <c r="AO26" i="75" s="1"/>
  <c r="AD26" i="75"/>
  <c r="AN26" i="75" s="1"/>
  <c r="AD19" i="75"/>
  <c r="AC19" i="75"/>
  <c r="AM19" i="75" s="1"/>
  <c r="AK19" i="75" s="1"/>
  <c r="AE19" i="75"/>
  <c r="AO19" i="75" s="1"/>
  <c r="J43" i="75"/>
  <c r="AI26" i="75"/>
  <c r="AJ26" i="75"/>
  <c r="AI19" i="75"/>
  <c r="AJ19" i="75"/>
  <c r="AN19" i="75"/>
  <c r="AE36" i="75"/>
  <c r="AJ36" i="75"/>
  <c r="AD36" i="75"/>
  <c r="AC36" i="75"/>
  <c r="AI36" i="75"/>
  <c r="AI40" i="75"/>
  <c r="AE40" i="75"/>
  <c r="AD34" i="75"/>
  <c r="AD40" i="75"/>
  <c r="AC34" i="75"/>
  <c r="AC40" i="75"/>
  <c r="AE34" i="75"/>
  <c r="AJ40" i="75"/>
  <c r="AI34" i="75"/>
  <c r="AJ34" i="75"/>
  <c r="AJ35" i="75"/>
  <c r="AE22" i="75"/>
  <c r="AC35" i="75"/>
  <c r="AJ22" i="75"/>
  <c r="AD22" i="75"/>
  <c r="AJ39" i="75"/>
  <c r="AC25" i="75"/>
  <c r="AE25" i="75"/>
  <c r="AI33" i="75"/>
  <c r="AC18" i="75"/>
  <c r="AD25" i="75"/>
  <c r="AI12" i="75"/>
  <c r="AE32" i="75"/>
  <c r="AI32" i="75"/>
  <c r="AE12" i="75"/>
  <c r="AJ18" i="75"/>
  <c r="AE18" i="75"/>
  <c r="AJ25" i="75"/>
  <c r="AE35" i="75"/>
  <c r="AD33" i="75"/>
  <c r="AI22" i="75"/>
  <c r="AD39" i="75"/>
  <c r="AJ32" i="75"/>
  <c r="AI39" i="75"/>
  <c r="AC12" i="75"/>
  <c r="AC32" i="75"/>
  <c r="AC33" i="75"/>
  <c r="AE39" i="75"/>
  <c r="AD12" i="75"/>
  <c r="AI18" i="75"/>
  <c r="AD32" i="75"/>
  <c r="AD35" i="75"/>
  <c r="AJ12" i="75"/>
  <c r="AI25" i="75"/>
  <c r="AD18" i="75"/>
  <c r="AI35" i="75"/>
  <c r="AC22" i="75"/>
  <c r="AC39" i="75"/>
  <c r="AE33" i="75"/>
  <c r="AJ33" i="75"/>
  <c r="AN25" i="75" l="1"/>
  <c r="AM25" i="75"/>
  <c r="AK25" i="75" s="1"/>
  <c r="AO25" i="75"/>
  <c r="AO22" i="75"/>
  <c r="AM22" i="75"/>
  <c r="AK22" i="75" s="1"/>
  <c r="AN22" i="75"/>
  <c r="AN40" i="75"/>
  <c r="AO40" i="75"/>
  <c r="AM40" i="75"/>
  <c r="AL40" i="75" s="1"/>
  <c r="AO39" i="75"/>
  <c r="AN39" i="75"/>
  <c r="AM39" i="75"/>
  <c r="AK39" i="75" s="1"/>
  <c r="AO33" i="75"/>
  <c r="AN33" i="75"/>
  <c r="AM33" i="75"/>
  <c r="AK33" i="75" s="1"/>
  <c r="AO32" i="75"/>
  <c r="AM32" i="75"/>
  <c r="AL32" i="75" s="1"/>
  <c r="AN32" i="75"/>
  <c r="AM18" i="75"/>
  <c r="AL18" i="75" s="1"/>
  <c r="AN18" i="75"/>
  <c r="AO18" i="75"/>
  <c r="AO12" i="75"/>
  <c r="AM12" i="75"/>
  <c r="AK12" i="75" s="1"/>
  <c r="AN12" i="75"/>
  <c r="AL26" i="75"/>
  <c r="AF44" i="75"/>
  <c r="AL19" i="75"/>
  <c r="AK26" i="75"/>
  <c r="AK44" i="75"/>
  <c r="J44" i="75"/>
  <c r="J45" i="75" s="1"/>
  <c r="O43" i="75" s="1"/>
  <c r="AL44" i="75"/>
  <c r="J47" i="75" s="1"/>
  <c r="AI44" i="75"/>
  <c r="J48" i="75"/>
  <c r="AL22" i="75"/>
  <c r="AM44" i="75"/>
  <c r="AO35" i="75"/>
  <c r="AO34" i="75"/>
  <c r="AN35" i="75"/>
  <c r="AM34" i="75"/>
  <c r="AO36" i="75"/>
  <c r="AN34" i="75"/>
  <c r="AN36" i="75"/>
  <c r="AM36" i="75"/>
  <c r="AM35" i="75"/>
  <c r="AK40" i="75"/>
  <c r="AL12" i="75"/>
  <c r="AD15" i="75"/>
  <c r="AD16" i="75"/>
  <c r="AE30" i="75"/>
  <c r="AJ37" i="75"/>
  <c r="AD29" i="75"/>
  <c r="AI29" i="75"/>
  <c r="AJ41" i="75"/>
  <c r="AC37" i="75"/>
  <c r="AJ29" i="75"/>
  <c r="AJ15" i="75"/>
  <c r="AC29" i="75"/>
  <c r="AJ16" i="75"/>
  <c r="AE37" i="75"/>
  <c r="AC16" i="75"/>
  <c r="AJ30" i="75"/>
  <c r="AI15" i="75"/>
  <c r="AI37" i="75"/>
  <c r="AE16" i="75"/>
  <c r="AD41" i="75"/>
  <c r="AI41" i="75"/>
  <c r="AI16" i="75"/>
  <c r="AE15" i="75"/>
  <c r="AE29" i="75"/>
  <c r="AI30" i="75"/>
  <c r="AD30" i="75"/>
  <c r="AC41" i="75"/>
  <c r="AC15" i="75"/>
  <c r="AE41" i="75"/>
  <c r="AD37" i="75"/>
  <c r="AC30" i="75"/>
  <c r="AD24" i="75"/>
  <c r="AE24" i="75"/>
  <c r="AC24" i="75"/>
  <c r="AI24" i="75"/>
  <c r="AJ24" i="75"/>
  <c r="AC38" i="75"/>
  <c r="AE38" i="75"/>
  <c r="AI38" i="75"/>
  <c r="AD38" i="75"/>
  <c r="AJ38" i="75"/>
  <c r="AP16" i="75"/>
  <c r="AE17" i="75"/>
  <c r="AQ40" i="75"/>
  <c r="AP41" i="75"/>
  <c r="AP13" i="75"/>
  <c r="AQ38" i="75"/>
  <c r="AP29" i="75"/>
  <c r="AE14" i="75"/>
  <c r="AQ29" i="75"/>
  <c r="AC17" i="75"/>
  <c r="AD17" i="75"/>
  <c r="AP32" i="75"/>
  <c r="AD31" i="75"/>
  <c r="AE23" i="75"/>
  <c r="AQ25" i="75"/>
  <c r="AI28" i="75"/>
  <c r="AP25" i="75"/>
  <c r="AQ22" i="75"/>
  <c r="AJ13" i="75"/>
  <c r="AC31" i="75"/>
  <c r="AP30" i="75"/>
  <c r="AJ11" i="75"/>
  <c r="AJ20" i="75"/>
  <c r="AJ31" i="75"/>
  <c r="AP38" i="75"/>
  <c r="AC23" i="75"/>
  <c r="AQ24" i="75"/>
  <c r="AD28" i="75"/>
  <c r="AJ14" i="75"/>
  <c r="AD14" i="75"/>
  <c r="AP34" i="75"/>
  <c r="AP24" i="75"/>
  <c r="AC20" i="75"/>
  <c r="AQ34" i="75"/>
  <c r="AI27" i="75"/>
  <c r="AE31" i="75"/>
  <c r="AI23" i="75"/>
  <c r="AJ21" i="75"/>
  <c r="AJ27" i="75"/>
  <c r="AP39" i="75"/>
  <c r="AD21" i="75"/>
  <c r="AI14" i="75"/>
  <c r="AI20" i="75"/>
  <c r="AQ32" i="75"/>
  <c r="AD27" i="75"/>
  <c r="AP27" i="75"/>
  <c r="AQ16" i="75"/>
  <c r="AQ36" i="75"/>
  <c r="AD23" i="75"/>
  <c r="AP18" i="75"/>
  <c r="AQ39" i="75"/>
  <c r="AQ12" i="75"/>
  <c r="AP17" i="75"/>
  <c r="AQ33" i="75"/>
  <c r="AE13" i="75"/>
  <c r="AP20" i="75"/>
  <c r="AQ18" i="75"/>
  <c r="AQ20" i="75"/>
  <c r="AQ31" i="75"/>
  <c r="AE21" i="75"/>
  <c r="AJ23" i="75"/>
  <c r="AQ17" i="75"/>
  <c r="AP36" i="75"/>
  <c r="AP11" i="75"/>
  <c r="AC14" i="75"/>
  <c r="AC11" i="75"/>
  <c r="AD11" i="75"/>
  <c r="AI11" i="75"/>
  <c r="AP12" i="75"/>
  <c r="AQ26" i="75"/>
  <c r="AJ28" i="75"/>
  <c r="AC21" i="75"/>
  <c r="AQ19" i="75"/>
  <c r="AQ23" i="75"/>
  <c r="AP37" i="75"/>
  <c r="AP19" i="75"/>
  <c r="AC28" i="75"/>
  <c r="AQ30" i="75"/>
  <c r="AQ14" i="75"/>
  <c r="AP23" i="75"/>
  <c r="AD13" i="75"/>
  <c r="AC27" i="75"/>
  <c r="AP26" i="75"/>
  <c r="AC13" i="75"/>
  <c r="AQ13" i="75"/>
  <c r="AP33" i="75"/>
  <c r="AQ27" i="75"/>
  <c r="AQ21" i="75"/>
  <c r="AP15" i="75"/>
  <c r="AI21" i="75"/>
  <c r="AI17" i="75"/>
  <c r="AQ28" i="75"/>
  <c r="AE11" i="75"/>
  <c r="AQ41" i="75"/>
  <c r="AE27" i="75"/>
  <c r="AJ17" i="75"/>
  <c r="AQ15" i="75"/>
  <c r="AE28" i="75"/>
  <c r="AP35" i="75"/>
  <c r="AQ37" i="75"/>
  <c r="AE20" i="75"/>
  <c r="AP21" i="75"/>
  <c r="AQ11" i="75"/>
  <c r="AD20" i="75"/>
  <c r="AP40" i="75"/>
  <c r="AQ35" i="75"/>
  <c r="AP28" i="75"/>
  <c r="AP22" i="75"/>
  <c r="AP14" i="75"/>
  <c r="AI13" i="75"/>
  <c r="AP31" i="75"/>
  <c r="AI31" i="75"/>
  <c r="AK18" i="75" l="1"/>
  <c r="AL25" i="75"/>
  <c r="AL39" i="75"/>
  <c r="AL33" i="75"/>
  <c r="AK32" i="75"/>
  <c r="AO14" i="75"/>
  <c r="AM20" i="75"/>
  <c r="AK20" i="75" s="1"/>
  <c r="AM30" i="75"/>
  <c r="AL30" i="75" s="1"/>
  <c r="AN28" i="75"/>
  <c r="AN11" i="75"/>
  <c r="AO20" i="75"/>
  <c r="AN37" i="75"/>
  <c r="AO41" i="75"/>
  <c r="AM15" i="75"/>
  <c r="AK15" i="75" s="1"/>
  <c r="AM13" i="75"/>
  <c r="AK13" i="75" s="1"/>
  <c r="AM41" i="75"/>
  <c r="AL41" i="75" s="1"/>
  <c r="AN30" i="75"/>
  <c r="AN14" i="75"/>
  <c r="AO29" i="75"/>
  <c r="AO15" i="75"/>
  <c r="AM31" i="75"/>
  <c r="AL31" i="75" s="1"/>
  <c r="AM24" i="75"/>
  <c r="AK24" i="75" s="1"/>
  <c r="AN31" i="75"/>
  <c r="AN13" i="75"/>
  <c r="AO38" i="75"/>
  <c r="AN21" i="75"/>
  <c r="AO24" i="75"/>
  <c r="AO17" i="75"/>
  <c r="AN41" i="75"/>
  <c r="AO16" i="75"/>
  <c r="AO27" i="75"/>
  <c r="AO28" i="75"/>
  <c r="AM14" i="75"/>
  <c r="AL14" i="75" s="1"/>
  <c r="AM16" i="75"/>
  <c r="AK16" i="75" s="1"/>
  <c r="AO37" i="75"/>
  <c r="AM23" i="75"/>
  <c r="AK23" i="75" s="1"/>
  <c r="AN17" i="75"/>
  <c r="AM28" i="75"/>
  <c r="AL28" i="75" s="1"/>
  <c r="AM17" i="75"/>
  <c r="AL17" i="75" s="1"/>
  <c r="AM29" i="75"/>
  <c r="AK29" i="75" s="1"/>
  <c r="AN38" i="75"/>
  <c r="AM38" i="75"/>
  <c r="AL38" i="75" s="1"/>
  <c r="AN23" i="75"/>
  <c r="AO13" i="75"/>
  <c r="AO21" i="75"/>
  <c r="AM37" i="75"/>
  <c r="AK37" i="75" s="1"/>
  <c r="AM27" i="75"/>
  <c r="AK27" i="75" s="1"/>
  <c r="AO11" i="75"/>
  <c r="AN27" i="75"/>
  <c r="AM11" i="75"/>
  <c r="AL11" i="75" s="1"/>
  <c r="AO23" i="75"/>
  <c r="AN29" i="75"/>
  <c r="AO31" i="75"/>
  <c r="AN24" i="75"/>
  <c r="AO30" i="75"/>
  <c r="AN16" i="75"/>
  <c r="AM21" i="75"/>
  <c r="AL21" i="75" s="1"/>
  <c r="AN15" i="75"/>
  <c r="AN20" i="75"/>
  <c r="AK35" i="75"/>
  <c r="AL35" i="75"/>
  <c r="AL15" i="75"/>
  <c r="AK36" i="75"/>
  <c r="AL36" i="75"/>
  <c r="AK28" i="75"/>
  <c r="AK17" i="75"/>
  <c r="AL34" i="75"/>
  <c r="AK34" i="75"/>
  <c r="AK30" i="75" l="1"/>
  <c r="AL13" i="75"/>
  <c r="AL23" i="75"/>
  <c r="AL24" i="75"/>
  <c r="AL37" i="75"/>
  <c r="AL16" i="75"/>
  <c r="AK38" i="75"/>
  <c r="AK31" i="75"/>
  <c r="AK21" i="75"/>
  <c r="AL20" i="75"/>
  <c r="AK11" i="75"/>
  <c r="AL29" i="75"/>
  <c r="AL27" i="75"/>
  <c r="O47" i="75"/>
  <c r="O44" i="75"/>
  <c r="AK41" i="75"/>
  <c r="AK14" i="75"/>
  <c r="O46" i="75" l="1"/>
  <c r="O45" i="75"/>
</calcChain>
</file>

<file path=xl/sharedStrings.xml><?xml version="1.0" encoding="utf-8"?>
<sst xmlns="http://schemas.openxmlformats.org/spreadsheetml/2006/main" count="581" uniqueCount="318">
  <si>
    <t>年</t>
  </si>
  <si>
    <t>月度勤務表</t>
  </si>
  <si>
    <t>日</t>
  </si>
  <si>
    <t>始業</t>
  </si>
  <si>
    <t>終業</t>
  </si>
  <si>
    <t>勤務時間</t>
  </si>
  <si>
    <t>勤怠</t>
    <rPh sb="0" eb="2">
      <t>キンタイ</t>
    </rPh>
    <phoneticPr fontId="1"/>
  </si>
  <si>
    <t>外出</t>
    <rPh sb="0" eb="2">
      <t>ガイシュツ</t>
    </rPh>
    <phoneticPr fontId="1"/>
  </si>
  <si>
    <t>外出</t>
    <rPh sb="0" eb="1">
      <t>ガイ</t>
    </rPh>
    <rPh sb="1" eb="2">
      <t>デ</t>
    </rPh>
    <phoneticPr fontId="1"/>
  </si>
  <si>
    <t>外入</t>
    <rPh sb="0" eb="1">
      <t>ソト</t>
    </rPh>
    <rPh sb="1" eb="2">
      <t>イ</t>
    </rPh>
    <phoneticPr fontId="1"/>
  </si>
  <si>
    <t>休憩</t>
    <rPh sb="0" eb="2">
      <t>キュウケイ</t>
    </rPh>
    <phoneticPr fontId="1"/>
  </si>
  <si>
    <t>年休</t>
    <rPh sb="0" eb="2">
      <t>ネンキュウ</t>
    </rPh>
    <phoneticPr fontId="1"/>
  </si>
  <si>
    <t>振休</t>
    <rPh sb="0" eb="1">
      <t>フ</t>
    </rPh>
    <rPh sb="1" eb="2">
      <t>キュウ</t>
    </rPh>
    <phoneticPr fontId="1"/>
  </si>
  <si>
    <t>休出</t>
    <rPh sb="0" eb="2">
      <t>キュウシュツ</t>
    </rPh>
    <phoneticPr fontId="1"/>
  </si>
  <si>
    <t>振出</t>
    <rPh sb="0" eb="1">
      <t>フ</t>
    </rPh>
    <rPh sb="1" eb="2">
      <t>デ</t>
    </rPh>
    <phoneticPr fontId="1"/>
  </si>
  <si>
    <t>特勤</t>
    <rPh sb="0" eb="1">
      <t>トク</t>
    </rPh>
    <rPh sb="1" eb="2">
      <t>ツトム</t>
    </rPh>
    <phoneticPr fontId="1"/>
  </si>
  <si>
    <t>欠勤</t>
    <rPh sb="0" eb="2">
      <t>ケッキン</t>
    </rPh>
    <phoneticPr fontId="1"/>
  </si>
  <si>
    <t>結婚</t>
    <rPh sb="0" eb="2">
      <t>ケッコン</t>
    </rPh>
    <phoneticPr fontId="1"/>
  </si>
  <si>
    <t>出産</t>
    <rPh sb="0" eb="2">
      <t>シュッサン</t>
    </rPh>
    <phoneticPr fontId="1"/>
  </si>
  <si>
    <t>忌引</t>
    <rPh sb="0" eb="2">
      <t>キビ</t>
    </rPh>
    <phoneticPr fontId="1"/>
  </si>
  <si>
    <t>赴任</t>
    <rPh sb="0" eb="2">
      <t>フニン</t>
    </rPh>
    <phoneticPr fontId="1"/>
  </si>
  <si>
    <t>産前産後</t>
    <rPh sb="0" eb="2">
      <t>サンゼン</t>
    </rPh>
    <rPh sb="2" eb="4">
      <t>サンゴ</t>
    </rPh>
    <phoneticPr fontId="1"/>
  </si>
  <si>
    <t>生理</t>
    <rPh sb="0" eb="2">
      <t>セイリ</t>
    </rPh>
    <phoneticPr fontId="1"/>
  </si>
  <si>
    <t>育児</t>
    <rPh sb="0" eb="2">
      <t>イクジ</t>
    </rPh>
    <phoneticPr fontId="1"/>
  </si>
  <si>
    <t>介護</t>
    <rPh sb="0" eb="2">
      <t>カイゴ</t>
    </rPh>
    <phoneticPr fontId="1"/>
  </si>
  <si>
    <t>就業</t>
    <rPh sb="0" eb="2">
      <t>シュウギョウ</t>
    </rPh>
    <phoneticPr fontId="1"/>
  </si>
  <si>
    <t>就業／休憩時間管理表</t>
    <rPh sb="0" eb="2">
      <t>シュウギョウ</t>
    </rPh>
    <rPh sb="3" eb="5">
      <t>キュウケイ</t>
    </rPh>
    <rPh sb="5" eb="7">
      <t>ジカン</t>
    </rPh>
    <rPh sb="7" eb="9">
      <t>カンリ</t>
    </rPh>
    <rPh sb="9" eb="10">
      <t>ヒョウ</t>
    </rPh>
    <phoneticPr fontId="1"/>
  </si>
  <si>
    <t>個人情報</t>
    <rPh sb="0" eb="2">
      <t>コジン</t>
    </rPh>
    <rPh sb="2" eb="4">
      <t>ジョウホウ</t>
    </rPh>
    <phoneticPr fontId="1"/>
  </si>
  <si>
    <t>部</t>
    <rPh sb="0" eb="1">
      <t>ブ</t>
    </rPh>
    <phoneticPr fontId="1"/>
  </si>
  <si>
    <t>課</t>
    <rPh sb="0" eb="1">
      <t>カ</t>
    </rPh>
    <phoneticPr fontId="1"/>
  </si>
  <si>
    <t>第２システム部</t>
    <rPh sb="0" eb="1">
      <t>ダイ</t>
    </rPh>
    <rPh sb="6" eb="7">
      <t>ブ</t>
    </rPh>
    <phoneticPr fontId="1"/>
  </si>
  <si>
    <t>第２システム課</t>
    <rPh sb="0" eb="1">
      <t>ダイ</t>
    </rPh>
    <rPh sb="6" eb="7">
      <t>カ</t>
    </rPh>
    <phoneticPr fontId="1"/>
  </si>
  <si>
    <t>社員番号</t>
    <rPh sb="0" eb="2">
      <t>シャイン</t>
    </rPh>
    <rPh sb="2" eb="4">
      <t>バンゴウ</t>
    </rPh>
    <phoneticPr fontId="1"/>
  </si>
  <si>
    <t>プロジェクト名①</t>
    <rPh sb="6" eb="7">
      <t>メイ</t>
    </rPh>
    <phoneticPr fontId="1"/>
  </si>
  <si>
    <t>プロジェクト番号①</t>
    <rPh sb="6" eb="8">
      <t>バンゴウ</t>
    </rPh>
    <phoneticPr fontId="1"/>
  </si>
  <si>
    <t>プロジェクト名②</t>
    <rPh sb="6" eb="7">
      <t>メイ</t>
    </rPh>
    <phoneticPr fontId="1"/>
  </si>
  <si>
    <t>プロジェクト番号②</t>
    <rPh sb="6" eb="8">
      <t>バンゴウ</t>
    </rPh>
    <phoneticPr fontId="1"/>
  </si>
  <si>
    <t>旅費</t>
    <rPh sb="0" eb="2">
      <t>リョヒ</t>
    </rPh>
    <phoneticPr fontId="1"/>
  </si>
  <si>
    <t>備考</t>
    <rPh sb="0" eb="2">
      <t>ビコウ</t>
    </rPh>
    <phoneticPr fontId="1"/>
  </si>
  <si>
    <t>リフレッシュ</t>
    <phoneticPr fontId="1"/>
  </si>
  <si>
    <t>勤怠チェックマトリクス</t>
    <rPh sb="0" eb="2">
      <t>キンタイ</t>
    </rPh>
    <phoneticPr fontId="1"/>
  </si>
  <si>
    <t>非稼動</t>
    <rPh sb="0" eb="1">
      <t>ヒ</t>
    </rPh>
    <rPh sb="1" eb="3">
      <t>カドウ</t>
    </rPh>
    <phoneticPr fontId="1"/>
  </si>
  <si>
    <t>稼働</t>
    <rPh sb="0" eb="2">
      <t>カドウ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</si>
  <si>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</si>
  <si>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</si>
  <si>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</si>
  <si>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</si>
  <si>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</si>
  <si>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</si>
  <si>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</si>
  <si>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</si>
  <si>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</si>
  <si>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出勤実績日数</t>
    <rPh sb="0" eb="2">
      <t>シュッキン</t>
    </rPh>
    <rPh sb="2" eb="4">
      <t>ジッセキ</t>
    </rPh>
    <rPh sb="4" eb="6">
      <t>ニッスウ</t>
    </rPh>
    <phoneticPr fontId="1"/>
  </si>
  <si>
    <t>勤怠指示書</t>
    <rPh sb="0" eb="2">
      <t>キンタイ</t>
    </rPh>
    <rPh sb="2" eb="5">
      <t>シジショ</t>
    </rPh>
    <phoneticPr fontId="1"/>
  </si>
  <si>
    <t>日</t>
    <rPh sb="0" eb="1">
      <t>ヒ</t>
    </rPh>
    <phoneticPr fontId="1"/>
  </si>
  <si>
    <t>出勤予定日数（－年休）</t>
    <rPh sb="0" eb="2">
      <t>シュッキン</t>
    </rPh>
    <rPh sb="2" eb="4">
      <t>ヨテイ</t>
    </rPh>
    <rPh sb="4" eb="6">
      <t>ニッスウ</t>
    </rPh>
    <rPh sb="8" eb="9">
      <t>ネン</t>
    </rPh>
    <rPh sb="9" eb="10">
      <t>キュウ</t>
    </rPh>
    <phoneticPr fontId="1"/>
  </si>
  <si>
    <t>出勤予定日数（－特別休暇）</t>
    <rPh sb="0" eb="2">
      <t>シュッキン</t>
    </rPh>
    <rPh sb="2" eb="4">
      <t>ヨテイ</t>
    </rPh>
    <rPh sb="4" eb="6">
      <t>ニッスウ</t>
    </rPh>
    <rPh sb="8" eb="10">
      <t>トクベツ</t>
    </rPh>
    <rPh sb="10" eb="12">
      <t>キュウカ</t>
    </rPh>
    <phoneticPr fontId="1"/>
  </si>
  <si>
    <t>J</t>
    <phoneticPr fontId="1"/>
  </si>
  <si>
    <t>開始h</t>
    <rPh sb="0" eb="2">
      <t>カイシ</t>
    </rPh>
    <phoneticPr fontId="1"/>
  </si>
  <si>
    <t>開始m</t>
    <rPh sb="0" eb="2">
      <t>カイシ</t>
    </rPh>
    <phoneticPr fontId="1"/>
  </si>
  <si>
    <t>終了h</t>
    <rPh sb="0" eb="2">
      <t>シュウリョウ</t>
    </rPh>
    <phoneticPr fontId="1"/>
  </si>
  <si>
    <t>終了m</t>
    <rPh sb="0" eb="2">
      <t>シュウリョウ</t>
    </rPh>
    <phoneticPr fontId="1"/>
  </si>
  <si>
    <t>出h</t>
    <rPh sb="0" eb="1">
      <t>デ</t>
    </rPh>
    <phoneticPr fontId="1"/>
  </si>
  <si>
    <t>出m</t>
    <rPh sb="0" eb="1">
      <t>デ</t>
    </rPh>
    <phoneticPr fontId="1"/>
  </si>
  <si>
    <t>入h</t>
    <rPh sb="0" eb="1">
      <t>イ</t>
    </rPh>
    <phoneticPr fontId="1"/>
  </si>
  <si>
    <t>入m</t>
    <rPh sb="0" eb="1">
      <t>イ</t>
    </rPh>
    <phoneticPr fontId="1"/>
  </si>
  <si>
    <t>自由欄</t>
    <rPh sb="0" eb="3">
      <t>ジユウラン</t>
    </rPh>
    <phoneticPr fontId="1"/>
  </si>
  <si>
    <t>出張旅費精算書</t>
    <rPh sb="0" eb="2">
      <t>シュッチョウ</t>
    </rPh>
    <rPh sb="2" eb="4">
      <t>リョヒ</t>
    </rPh>
    <rPh sb="4" eb="7">
      <t>セイサンショ</t>
    </rPh>
    <phoneticPr fontId="1"/>
  </si>
  <si>
    <t>件</t>
    <rPh sb="0" eb="1">
      <t>ケン</t>
    </rPh>
    <phoneticPr fontId="1"/>
  </si>
  <si>
    <t>勤務時間</t>
    <rPh sb="0" eb="2">
      <t>キンム</t>
    </rPh>
    <rPh sb="2" eb="4">
      <t>ジカン</t>
    </rPh>
    <phoneticPr fontId="1"/>
  </si>
  <si>
    <t>ﾌﾟﾛｼﾞｪｸﾄ名</t>
    <rPh sb="8" eb="9">
      <t>ナ</t>
    </rPh>
    <phoneticPr fontId="1"/>
  </si>
  <si>
    <t>ﾌﾟﾛｼﾞｪｸﾄ番号</t>
    <rPh sb="8" eb="10">
      <t>バンゴウ</t>
    </rPh>
    <phoneticPr fontId="1"/>
  </si>
  <si>
    <t>ﾌﾟﾛｼﾞｪｸﾄ毎稼動実績(業務部記入)</t>
    <rPh sb="8" eb="9">
      <t>ゴト</t>
    </rPh>
    <rPh sb="9" eb="11">
      <t>カドウ</t>
    </rPh>
    <rPh sb="11" eb="13">
      <t>ジッセキ</t>
    </rPh>
    <rPh sb="14" eb="16">
      <t>ギョウム</t>
    </rPh>
    <rPh sb="16" eb="17">
      <t>ブ</t>
    </rPh>
    <rPh sb="17" eb="19">
      <t>キニュウ</t>
    </rPh>
    <phoneticPr fontId="1"/>
  </si>
  <si>
    <t>部長</t>
    <rPh sb="0" eb="2">
      <t>ブチョウ</t>
    </rPh>
    <phoneticPr fontId="1"/>
  </si>
  <si>
    <t>課長</t>
    <rPh sb="0" eb="2">
      <t>カチョウ</t>
    </rPh>
    <phoneticPr fontId="1"/>
  </si>
  <si>
    <t>21～末日</t>
    <rPh sb="3" eb="5">
      <t>マツジツ</t>
    </rPh>
    <phoneticPr fontId="1"/>
  </si>
  <si>
    <t>1～20日</t>
    <rPh sb="4" eb="5">
      <t>ニチ</t>
    </rPh>
    <phoneticPr fontId="1"/>
  </si>
  <si>
    <t>合計</t>
    <rPh sb="0" eb="2">
      <t>ゴウケイ</t>
    </rPh>
    <phoneticPr fontId="1"/>
  </si>
  <si>
    <t>合　　計</t>
    <rPh sb="0" eb="1">
      <t>ゴウ</t>
    </rPh>
    <rPh sb="3" eb="4">
      <t>ケイ</t>
    </rPh>
    <phoneticPr fontId="1"/>
  </si>
  <si>
    <t xml:space="preserve"> 　 h   m</t>
    <phoneticPr fontId="1"/>
  </si>
  <si>
    <t>曜</t>
    <rPh sb="0" eb="1">
      <t>ヨウ</t>
    </rPh>
    <phoneticPr fontId="1"/>
  </si>
  <si>
    <t>始業</t>
    <rPh sb="0" eb="2">
      <t>シギョウ</t>
    </rPh>
    <phoneticPr fontId="1"/>
  </si>
  <si>
    <t>終業</t>
    <rPh sb="0" eb="2">
      <t>シュウギョウ</t>
    </rPh>
    <phoneticPr fontId="1"/>
  </si>
  <si>
    <t>Pno</t>
    <phoneticPr fontId="1"/>
  </si>
  <si>
    <t>備　　　　考</t>
    <rPh sb="0" eb="1">
      <t>ビ</t>
    </rPh>
    <rPh sb="5" eb="6">
      <t>コウ</t>
    </rPh>
    <phoneticPr fontId="1"/>
  </si>
  <si>
    <t>検印</t>
    <rPh sb="0" eb="2">
      <t>ケンイン</t>
    </rPh>
    <phoneticPr fontId="1"/>
  </si>
  <si>
    <t xml:space="preserve">   h    m</t>
  </si>
  <si>
    <t>【勤怠：休出・振出・振休・年休・特勤・欠勤・結婚・出産・忌引・ﾘﾌﾚｯｼｭ・赴任・産前産後・生理・育児・介護】</t>
    <rPh sb="1" eb="3">
      <t>キンタイ</t>
    </rPh>
    <rPh sb="4" eb="6">
      <t>キュウシュツ</t>
    </rPh>
    <rPh sb="7" eb="9">
      <t>フリダシ</t>
    </rPh>
    <rPh sb="10" eb="11">
      <t>ブルイ</t>
    </rPh>
    <rPh sb="11" eb="12">
      <t>キュウ</t>
    </rPh>
    <rPh sb="13" eb="14">
      <t>ネン</t>
    </rPh>
    <rPh sb="14" eb="15">
      <t>キュウ</t>
    </rPh>
    <rPh sb="16" eb="17">
      <t>トク</t>
    </rPh>
    <rPh sb="17" eb="18">
      <t>ツトム</t>
    </rPh>
    <rPh sb="19" eb="21">
      <t>ケッキン</t>
    </rPh>
    <rPh sb="22" eb="24">
      <t>ケッコン</t>
    </rPh>
    <rPh sb="25" eb="27">
      <t>シュッサン</t>
    </rPh>
    <rPh sb="28" eb="30">
      <t>キビキ</t>
    </rPh>
    <rPh sb="38" eb="40">
      <t>フニン</t>
    </rPh>
    <rPh sb="41" eb="43">
      <t>サンゼン</t>
    </rPh>
    <rPh sb="43" eb="45">
      <t>サンゴ</t>
    </rPh>
    <rPh sb="46" eb="48">
      <t>セイリ</t>
    </rPh>
    <phoneticPr fontId="1"/>
  </si>
  <si>
    <t>【休憩時間：12:00～13:00　18:00～18:30　21:30～22:00　01:00～02:00　05:00～06:00　08:00～09:00】</t>
    <rPh sb="1" eb="3">
      <t>キュウケイ</t>
    </rPh>
    <rPh sb="3" eb="5">
      <t>ジカン</t>
    </rPh>
    <phoneticPr fontId="1"/>
  </si>
  <si>
    <t xml:space="preserve"> 短期出張で直行・直帰する場合は、勤怠に直行または直帰と記入して下さい。</t>
    <rPh sb="1" eb="3">
      <t>タンキ</t>
    </rPh>
    <rPh sb="3" eb="5">
      <t>シュッチョウ</t>
    </rPh>
    <rPh sb="6" eb="8">
      <t>チョッコウ</t>
    </rPh>
    <rPh sb="9" eb="11">
      <t>チョッキ</t>
    </rPh>
    <rPh sb="13" eb="15">
      <t>バアイ</t>
    </rPh>
    <rPh sb="17" eb="19">
      <t>キンタイ</t>
    </rPh>
    <rPh sb="20" eb="22">
      <t>チョッコウ</t>
    </rPh>
    <rPh sb="25" eb="27">
      <t>チョッキ</t>
    </rPh>
    <rPh sb="28" eb="30">
      <t>キニュウ</t>
    </rPh>
    <phoneticPr fontId="1"/>
  </si>
  <si>
    <t xml:space="preserve"> 旅費が発生する出張時、備考欄に出張先を記入して下さい。</t>
    <rPh sb="1" eb="3">
      <t>リョヒ</t>
    </rPh>
    <rPh sb="4" eb="6">
      <t>ハッセイ</t>
    </rPh>
    <rPh sb="8" eb="10">
      <t>シュッチョウ</t>
    </rPh>
    <rPh sb="10" eb="11">
      <t>ジ</t>
    </rPh>
    <rPh sb="12" eb="14">
      <t>ビコウ</t>
    </rPh>
    <rPh sb="14" eb="15">
      <t>ラン</t>
    </rPh>
    <rPh sb="16" eb="18">
      <t>シュッチョウ</t>
    </rPh>
    <rPh sb="18" eb="19">
      <t>サキ</t>
    </rPh>
    <rPh sb="20" eb="22">
      <t>キニュウ</t>
    </rPh>
    <phoneticPr fontId="1"/>
  </si>
  <si>
    <t>株式会社アグトラスト</t>
    <rPh sb="0" eb="2">
      <t>カブシキ</t>
    </rPh>
    <rPh sb="2" eb="4">
      <t>カイシャ</t>
    </rPh>
    <phoneticPr fontId="1"/>
  </si>
  <si>
    <t>～</t>
  </si>
  <si>
    <t>:</t>
  </si>
  <si>
    <t>所属</t>
    <rPh sb="0" eb="2">
      <t>ショゾク</t>
    </rPh>
    <phoneticPr fontId="1"/>
  </si>
  <si>
    <t>C0</t>
    <phoneticPr fontId="1"/>
  </si>
  <si>
    <t>C1</t>
    <phoneticPr fontId="1"/>
  </si>
  <si>
    <t>C3</t>
    <phoneticPr fontId="1"/>
  </si>
  <si>
    <t>リフレッシュ</t>
    <phoneticPr fontId="1"/>
  </si>
  <si>
    <t>直行</t>
    <rPh sb="0" eb="2">
      <t>チョッコウ</t>
    </rPh>
    <phoneticPr fontId="1"/>
  </si>
  <si>
    <t>直帰</t>
    <rPh sb="0" eb="2">
      <t>チョッキ</t>
    </rPh>
    <phoneticPr fontId="1"/>
  </si>
  <si>
    <t>F</t>
    <phoneticPr fontId="1"/>
  </si>
  <si>
    <t>G</t>
    <phoneticPr fontId="1"/>
  </si>
  <si>
    <t>K</t>
    <phoneticPr fontId="1"/>
  </si>
  <si>
    <t>平日残</t>
    <rPh sb="0" eb="2">
      <t>ヘイジツ</t>
    </rPh>
    <rPh sb="2" eb="3">
      <t>ザン</t>
    </rPh>
    <phoneticPr fontId="1"/>
  </si>
  <si>
    <t>休日残</t>
    <rPh sb="0" eb="2">
      <t>キュウジツ</t>
    </rPh>
    <rPh sb="2" eb="3">
      <t>ザン</t>
    </rPh>
    <phoneticPr fontId="1"/>
  </si>
  <si>
    <t>－</t>
  </si>
  <si>
    <t>振出・直帰</t>
    <rPh sb="0" eb="1">
      <t>フ</t>
    </rPh>
    <rPh sb="1" eb="2">
      <t>デ</t>
    </rPh>
    <rPh sb="3" eb="5">
      <t>チョッキ</t>
    </rPh>
    <phoneticPr fontId="1"/>
  </si>
  <si>
    <t>J</t>
    <phoneticPr fontId="1"/>
  </si>
  <si>
    <t>L</t>
    <phoneticPr fontId="1"/>
  </si>
  <si>
    <t>A</t>
  </si>
  <si>
    <t>M</t>
    <phoneticPr fontId="1"/>
  </si>
  <si>
    <t>N</t>
    <phoneticPr fontId="1"/>
  </si>
  <si>
    <t>N</t>
    <phoneticPr fontId="1"/>
  </si>
  <si>
    <t>振出・特勤</t>
    <rPh sb="3" eb="4">
      <t>トク</t>
    </rPh>
    <rPh sb="4" eb="5">
      <t>ツトム</t>
    </rPh>
    <phoneticPr fontId="1"/>
  </si>
  <si>
    <t>振出・直行</t>
    <rPh sb="0" eb="1">
      <t>フ</t>
    </rPh>
    <rPh sb="1" eb="2">
      <t>デ</t>
    </rPh>
    <phoneticPr fontId="1"/>
  </si>
  <si>
    <t>振出・直行・直帰</t>
    <rPh sb="3" eb="5">
      <t>チョッコウ</t>
    </rPh>
    <rPh sb="6" eb="8">
      <t>チョッキ</t>
    </rPh>
    <phoneticPr fontId="1"/>
  </si>
  <si>
    <t>休出・直行</t>
    <rPh sb="3" eb="5">
      <t>チョッコウ</t>
    </rPh>
    <phoneticPr fontId="1"/>
  </si>
  <si>
    <t>休出・直行・直帰</t>
    <rPh sb="3" eb="5">
      <t>チョッコウ</t>
    </rPh>
    <rPh sb="6" eb="8">
      <t>チョッキ</t>
    </rPh>
    <phoneticPr fontId="1"/>
  </si>
  <si>
    <t>休出・直帰</t>
    <rPh sb="3" eb="5">
      <t>チョッキ</t>
    </rPh>
    <phoneticPr fontId="1"/>
  </si>
  <si>
    <t>－</t>
    <phoneticPr fontId="1"/>
  </si>
  <si>
    <t xml:space="preserve"> </t>
    <phoneticPr fontId="1"/>
  </si>
  <si>
    <t>就業w</t>
    <rPh sb="0" eb="2">
      <t>シュウギョウ</t>
    </rPh>
    <phoneticPr fontId="1"/>
  </si>
  <si>
    <t>外出w</t>
    <rPh sb="0" eb="2">
      <t>ガイシュツ</t>
    </rPh>
    <phoneticPr fontId="1"/>
  </si>
  <si>
    <t>休憩w</t>
    <rPh sb="0" eb="2">
      <t>キュウケイ</t>
    </rPh>
    <phoneticPr fontId="1"/>
  </si>
  <si>
    <t>勤務時間w</t>
    <phoneticPr fontId="1"/>
  </si>
  <si>
    <t>直行・直帰</t>
    <rPh sb="0" eb="2">
      <t>チョッコウ</t>
    </rPh>
    <rPh sb="3" eb="5">
      <t>チョッキ</t>
    </rPh>
    <phoneticPr fontId="1"/>
  </si>
  <si>
    <t>E101_出退勤時刻または外出時刻は『000～2359』を入力してください</t>
  </si>
  <si>
    <t>E102_出退勤時刻が正しく入力されていません</t>
  </si>
  <si>
    <t>E103_外出時刻が正しく入力されていません</t>
  </si>
  <si>
    <t>E104_出退勤時刻未入力に対し、外出時刻が入力されています</t>
  </si>
  <si>
    <t>E105_入力範囲外です</t>
  </si>
  <si>
    <t>E106_平日に入力可能な勤怠区分ではありません</t>
  </si>
  <si>
    <t>E107_勤怠区分『平日出勤』に対し、出退勤時刻が入力されていません</t>
  </si>
  <si>
    <t>E108_勤怠区分『平日休暇』に対し、出退勤時刻が入力されています</t>
  </si>
  <si>
    <t>E109_休日に入力可能な勤怠区分ではありません</t>
  </si>
  <si>
    <t>E110_勤怠区分『休日出勤』に対し、出退勤時刻が入力されていません</t>
  </si>
  <si>
    <t>E204_出勤／退勤時刻逆転エラー</t>
  </si>
  <si>
    <t>外出時刻と外入時刻が逆転していないこと、または同時刻が入力されていないこと</t>
  </si>
  <si>
    <t>E208_外出／外入時刻逆転エラー</t>
  </si>
  <si>
    <t>E209_外出時刻＿就業範囲外エラー</t>
  </si>
  <si>
    <t>勤務時間が10分以上であること</t>
  </si>
  <si>
    <t>旅費が入力されている場合、備考欄が入力されていること</t>
  </si>
  <si>
    <t>チェック箇所</t>
    <rPh sb="4" eb="6">
      <t>カショ</t>
    </rPh>
    <phoneticPr fontId="26"/>
  </si>
  <si>
    <t>チェック内容</t>
    <rPh sb="4" eb="6">
      <t>ナイヨウ</t>
    </rPh>
    <phoneticPr fontId="26"/>
  </si>
  <si>
    <t>勤怠</t>
    <rPh sb="0" eb="2">
      <t>キンタイ</t>
    </rPh>
    <phoneticPr fontId="26"/>
  </si>
  <si>
    <t>出勤時刻</t>
    <rPh sb="0" eb="2">
      <t>シュッキン</t>
    </rPh>
    <rPh sb="2" eb="4">
      <t>ジコク</t>
    </rPh>
    <phoneticPr fontId="26"/>
  </si>
  <si>
    <t>外入時刻</t>
    <rPh sb="1" eb="2">
      <t>イ</t>
    </rPh>
    <phoneticPr fontId="26"/>
  </si>
  <si>
    <t>旅費</t>
    <rPh sb="0" eb="2">
      <t>リョヒ</t>
    </rPh>
    <phoneticPr fontId="26"/>
  </si>
  <si>
    <t>備考</t>
    <rPh sb="0" eb="2">
      <t>ビコウ</t>
    </rPh>
    <phoneticPr fontId="26"/>
  </si>
  <si>
    <t>勤務時間</t>
    <rPh sb="0" eb="2">
      <t>キンム</t>
    </rPh>
    <rPh sb="2" eb="4">
      <t>ジカン</t>
    </rPh>
    <phoneticPr fontId="26"/>
  </si>
  <si>
    <t>数値属性であること</t>
    <rPh sb="0" eb="2">
      <t>スウチ</t>
    </rPh>
    <rPh sb="2" eb="4">
      <t>ゾクセイ</t>
    </rPh>
    <phoneticPr fontId="26"/>
  </si>
  <si>
    <t>●</t>
    <phoneticPr fontId="26"/>
  </si>
  <si>
    <t>出勤時刻、退勤時刻ともに入力されていること（片側入力チェック）</t>
    <rPh sb="0" eb="2">
      <t>シュッキン</t>
    </rPh>
    <rPh sb="2" eb="4">
      <t>ジコク</t>
    </rPh>
    <rPh sb="5" eb="7">
      <t>タイキン</t>
    </rPh>
    <rPh sb="7" eb="9">
      <t>ジコク</t>
    </rPh>
    <rPh sb="12" eb="14">
      <t>ニュウリョク</t>
    </rPh>
    <rPh sb="22" eb="24">
      <t>カタガワ</t>
    </rPh>
    <rPh sb="24" eb="26">
      <t>ニュウリョク</t>
    </rPh>
    <phoneticPr fontId="26"/>
  </si>
  <si>
    <t>外出時刻、外入時刻ともに入力されていること（片側入力チェック）</t>
    <rPh sb="0" eb="2">
      <t>ガイシュツ</t>
    </rPh>
    <rPh sb="2" eb="4">
      <t>ジコク</t>
    </rPh>
    <rPh sb="5" eb="7">
      <t>トノニュウ</t>
    </rPh>
    <rPh sb="7" eb="9">
      <t>ジコク</t>
    </rPh>
    <rPh sb="12" eb="14">
      <t>ニュウリョク</t>
    </rPh>
    <rPh sb="22" eb="24">
      <t>カタガワ</t>
    </rPh>
    <rPh sb="24" eb="26">
      <t>ニュウリョク</t>
    </rPh>
    <phoneticPr fontId="26"/>
  </si>
  <si>
    <t>出退勤時刻『入力なし』and 外出時刻『入力あり』</t>
    <rPh sb="0" eb="3">
      <t>シュツタイキン</t>
    </rPh>
    <rPh sb="3" eb="5">
      <t>ジコク</t>
    </rPh>
    <rPh sb="6" eb="8">
      <t>ニュウリョク</t>
    </rPh>
    <rPh sb="15" eb="17">
      <t>ガイシュツ</t>
    </rPh>
    <rPh sb="17" eb="19">
      <t>ジコク</t>
    </rPh>
    <rPh sb="20" eb="22">
      <t>ニュウリョク</t>
    </rPh>
    <phoneticPr fontId="26"/>
  </si>
  <si>
    <t>31日に満たない月度に日付なし行に入力されていないこと</t>
    <rPh sb="2" eb="3">
      <t>ヒ</t>
    </rPh>
    <rPh sb="4" eb="5">
      <t>ミ</t>
    </rPh>
    <rPh sb="8" eb="9">
      <t>ツキ</t>
    </rPh>
    <rPh sb="9" eb="10">
      <t>ド</t>
    </rPh>
    <rPh sb="11" eb="13">
      <t>ヒヅケ</t>
    </rPh>
    <rPh sb="15" eb="16">
      <t>ギョウ</t>
    </rPh>
    <rPh sb="17" eb="19">
      <t>ニュウリョク</t>
    </rPh>
    <phoneticPr fontId="26"/>
  </si>
  <si>
    <t>平日に入力できる勤怠区分であること
ｼｰﾄ名『共通』勤怠ﾁｪｯｸﾏﾄﾘｸｽ『Ａ』の場合エラーとなる</t>
    <rPh sb="0" eb="2">
      <t>ヘイジツ</t>
    </rPh>
    <rPh sb="3" eb="5">
      <t>ニュウリョク</t>
    </rPh>
    <rPh sb="8" eb="10">
      <t>キンタイ</t>
    </rPh>
    <rPh sb="10" eb="12">
      <t>クブン</t>
    </rPh>
    <rPh sb="21" eb="22">
      <t>メイ</t>
    </rPh>
    <rPh sb="26" eb="28">
      <t>キンタイ</t>
    </rPh>
    <rPh sb="41" eb="43">
      <t>バアイ</t>
    </rPh>
    <phoneticPr fontId="26"/>
  </si>
  <si>
    <t>平日 and 勤怠ﾁｪｯｸﾏﾄﾘｸｽ『△,Ｂ,Ｌ』の場合、出勤時刻が入力されていること</t>
    <rPh sb="0" eb="2">
      <t>ヘイジツ</t>
    </rPh>
    <rPh sb="7" eb="9">
      <t>キンタイ</t>
    </rPh>
    <rPh sb="26" eb="28">
      <t>バアイ</t>
    </rPh>
    <rPh sb="29" eb="31">
      <t>シュッキン</t>
    </rPh>
    <rPh sb="31" eb="33">
      <t>ジコク</t>
    </rPh>
    <rPh sb="34" eb="36">
      <t>ニュウリョク</t>
    </rPh>
    <phoneticPr fontId="26"/>
  </si>
  <si>
    <t>●</t>
    <phoneticPr fontId="26"/>
  </si>
  <si>
    <t>平日 and 勤怠ﾁｪｯｸﾏﾄﾘｸｽ『Ｃ,Ｄ,Ｅ,Ｆ』の場合、出勤時刻が入力されていないこと</t>
    <rPh sb="0" eb="2">
      <t>ヘイジツ</t>
    </rPh>
    <rPh sb="7" eb="9">
      <t>キンタイ</t>
    </rPh>
    <rPh sb="28" eb="30">
      <t>バアイ</t>
    </rPh>
    <rPh sb="31" eb="33">
      <t>シュッキン</t>
    </rPh>
    <rPh sb="33" eb="35">
      <t>ジコク</t>
    </rPh>
    <rPh sb="36" eb="38">
      <t>ニュウリョク</t>
    </rPh>
    <phoneticPr fontId="26"/>
  </si>
  <si>
    <t>休日に入力できる勤怠区分であること
ｼｰﾄ名『共通』勤怠ﾁｪｯｸﾏﾄﾘｸｽ『Ｊ』の場合エラーとなる</t>
    <rPh sb="0" eb="2">
      <t>キュウジツ</t>
    </rPh>
    <rPh sb="3" eb="5">
      <t>ニュウリョク</t>
    </rPh>
    <rPh sb="8" eb="10">
      <t>キンタイ</t>
    </rPh>
    <rPh sb="10" eb="12">
      <t>クブン</t>
    </rPh>
    <rPh sb="21" eb="22">
      <t>メイ</t>
    </rPh>
    <rPh sb="26" eb="28">
      <t>キンタイ</t>
    </rPh>
    <rPh sb="41" eb="43">
      <t>バアイ</t>
    </rPh>
    <phoneticPr fontId="26"/>
  </si>
  <si>
    <t>休日 and 勤怠ﾁｪｯｸﾏﾄﾘｸｽ『Ｈ,ⅰ,Ｋ,Ｍ』の場合、出勤時刻が入力されていること</t>
    <rPh sb="0" eb="2">
      <t>キュウジツ</t>
    </rPh>
    <rPh sb="7" eb="9">
      <t>キンタイ</t>
    </rPh>
    <rPh sb="28" eb="30">
      <t>バアイ</t>
    </rPh>
    <rPh sb="31" eb="33">
      <t>シュッキン</t>
    </rPh>
    <rPh sb="33" eb="35">
      <t>ジコク</t>
    </rPh>
    <rPh sb="36" eb="38">
      <t>ニュウリョク</t>
    </rPh>
    <phoneticPr fontId="26"/>
  </si>
  <si>
    <t>休日 and 勤怠ﾁｪｯｸﾏﾄﾘｸｽ『△,Ｇ』の場合、出勤時刻が入力されていないこと</t>
    <rPh sb="0" eb="2">
      <t>キュウジツ</t>
    </rPh>
    <rPh sb="7" eb="9">
      <t>キンタイ</t>
    </rPh>
    <rPh sb="24" eb="26">
      <t>バアイ</t>
    </rPh>
    <rPh sb="27" eb="29">
      <t>シュッキン</t>
    </rPh>
    <rPh sb="29" eb="31">
      <t>ジコク</t>
    </rPh>
    <rPh sb="32" eb="34">
      <t>ニュウリョク</t>
    </rPh>
    <phoneticPr fontId="26"/>
  </si>
  <si>
    <t>出勤時刻、退勤時刻が23時59分以下であること</t>
    <rPh sb="0" eb="2">
      <t>シュッキン</t>
    </rPh>
    <rPh sb="2" eb="4">
      <t>ジコク</t>
    </rPh>
    <phoneticPr fontId="26"/>
  </si>
  <si>
    <t>出勤時刻と退勤時刻が逆転していないこと、または同時刻が入力されていないこと</t>
    <rPh sb="0" eb="2">
      <t>シュッキン</t>
    </rPh>
    <rPh sb="5" eb="7">
      <t>タイキン</t>
    </rPh>
    <phoneticPr fontId="26"/>
  </si>
  <si>
    <t>外出時刻、外入時刻が23時59分以下であること</t>
    <rPh sb="0" eb="1">
      <t>ガイ</t>
    </rPh>
    <rPh sb="1" eb="2">
      <t>デ</t>
    </rPh>
    <rPh sb="5" eb="6">
      <t>ガイ</t>
    </rPh>
    <rPh sb="6" eb="7">
      <t>イ</t>
    </rPh>
    <rPh sb="7" eb="9">
      <t>ジコク</t>
    </rPh>
    <phoneticPr fontId="26"/>
  </si>
  <si>
    <t>出勤時刻 &lt; 外出時刻 &lt; 外入時刻 &lt; 退勤時刻であること</t>
    <rPh sb="0" eb="2">
      <t>シュッキン</t>
    </rPh>
    <rPh sb="2" eb="4">
      <t>ジコク</t>
    </rPh>
    <rPh sb="9" eb="11">
      <t>ジコク</t>
    </rPh>
    <rPh sb="14" eb="15">
      <t>ガイ</t>
    </rPh>
    <rPh sb="15" eb="16">
      <t>ニュウ</t>
    </rPh>
    <rPh sb="16" eb="18">
      <t>ジコク</t>
    </rPh>
    <rPh sb="21" eb="23">
      <t>タイキン</t>
    </rPh>
    <rPh sb="23" eb="25">
      <t>ジコク</t>
    </rPh>
    <phoneticPr fontId="26"/>
  </si>
  <si>
    <t>平日 and 勤怠ﾁｪｯｸﾏﾄﾘｸｽ『△,Ｌ』and 勤務時間『3時間未満』</t>
    <rPh sb="0" eb="2">
      <t>ヘイジツ</t>
    </rPh>
    <rPh sb="7" eb="9">
      <t>キンタイ</t>
    </rPh>
    <rPh sb="27" eb="29">
      <t>キンム</t>
    </rPh>
    <rPh sb="29" eb="31">
      <t>ジカン</t>
    </rPh>
    <rPh sb="33" eb="35">
      <t>ジカン</t>
    </rPh>
    <rPh sb="35" eb="37">
      <t>ミマン</t>
    </rPh>
    <phoneticPr fontId="26"/>
  </si>
  <si>
    <t>平日 and 入力ミス（特勤）</t>
    <rPh sb="0" eb="2">
      <t>ヘイジツ</t>
    </rPh>
    <phoneticPr fontId="26"/>
  </si>
  <si>
    <t>休日 and 勤怠ﾁｪｯｸﾏﾄﾘｸｽ『Ｋ,Ｍ』and 勤務時間『3時間未満』</t>
    <rPh sb="0" eb="2">
      <t>キュウジツ</t>
    </rPh>
    <rPh sb="7" eb="9">
      <t>キンタイ</t>
    </rPh>
    <rPh sb="27" eb="29">
      <t>キンム</t>
    </rPh>
    <rPh sb="29" eb="31">
      <t>ジカン</t>
    </rPh>
    <rPh sb="33" eb="35">
      <t>ジカン</t>
    </rPh>
    <rPh sb="35" eb="37">
      <t>ミマン</t>
    </rPh>
    <phoneticPr fontId="26"/>
  </si>
  <si>
    <t>休日 and 入力ミス（特勤）</t>
    <rPh sb="0" eb="2">
      <t>キュウジツ</t>
    </rPh>
    <phoneticPr fontId="26"/>
  </si>
  <si>
    <t>勤怠が入力されている場合、備考欄が入力されていること</t>
    <rPh sb="0" eb="2">
      <t>キンタイ</t>
    </rPh>
    <phoneticPr fontId="26"/>
  </si>
  <si>
    <t>振出、振休の数が一致していること</t>
    <rPh sb="0" eb="1">
      <t>フ</t>
    </rPh>
    <rPh sb="1" eb="2">
      <t>デ</t>
    </rPh>
    <rPh sb="3" eb="4">
      <t>フ</t>
    </rPh>
    <rPh sb="4" eb="5">
      <t>キュウ</t>
    </rPh>
    <rPh sb="6" eb="7">
      <t>カズ</t>
    </rPh>
    <rPh sb="8" eb="10">
      <t>イッチ</t>
    </rPh>
    <phoneticPr fontId="26"/>
  </si>
  <si>
    <t>年休：休出が存在する場合、継続するか確認ＭＳＧを出力する</t>
    <rPh sb="10" eb="12">
      <t>バアイ</t>
    </rPh>
    <rPh sb="13" eb="15">
      <t>ケイゾク</t>
    </rPh>
    <rPh sb="18" eb="20">
      <t>カクニン</t>
    </rPh>
    <rPh sb="24" eb="26">
      <t>シュツリョク</t>
    </rPh>
    <phoneticPr fontId="26"/>
  </si>
  <si>
    <t>欠勤：休出が存在する場合、継続するか確認ＭＳＧを出力する</t>
    <rPh sb="10" eb="12">
      <t>バアイ</t>
    </rPh>
    <phoneticPr fontId="26"/>
  </si>
  <si>
    <t>最低勤務時間を満たしていること</t>
    <rPh sb="0" eb="2">
      <t>サイテイ</t>
    </rPh>
    <rPh sb="2" eb="4">
      <t>キンム</t>
    </rPh>
    <rPh sb="4" eb="6">
      <t>ジカン</t>
    </rPh>
    <rPh sb="7" eb="8">
      <t>ミ</t>
    </rPh>
    <phoneticPr fontId="26"/>
  </si>
  <si>
    <t>出勤時刻が8時00分～7時50分(31時50分)の範囲内であること</t>
    <rPh sb="0" eb="2">
      <t>シュッキン</t>
    </rPh>
    <rPh sb="2" eb="4">
      <t>ジコク</t>
    </rPh>
    <phoneticPr fontId="26"/>
  </si>
  <si>
    <t>外入時刻が9時10分～7時50分(31時50分)の範囲内であること</t>
    <rPh sb="1" eb="2">
      <t>イ</t>
    </rPh>
    <phoneticPr fontId="26"/>
  </si>
  <si>
    <t>msgbox"振替可能な休出がありますが、継続しますか。"</t>
    <rPh sb="7" eb="9">
      <t>フリカエ</t>
    </rPh>
    <rPh sb="9" eb="11">
      <t>カノウ</t>
    </rPh>
    <rPh sb="12" eb="14">
      <t>キュウシュツ</t>
    </rPh>
    <rPh sb="21" eb="23">
      <t>ケイゾク</t>
    </rPh>
    <phoneticPr fontId="26"/>
  </si>
  <si>
    <t>就業ｘ</t>
    <rPh sb="0" eb="2">
      <t>シュウギョウ</t>
    </rPh>
    <phoneticPr fontId="1"/>
  </si>
  <si>
    <t>外出x</t>
    <rPh sb="0" eb="2">
      <t>ガイシュツ</t>
    </rPh>
    <phoneticPr fontId="1"/>
  </si>
  <si>
    <t>プロジェクト名</t>
    <rPh sb="6" eb="7">
      <t>メイ</t>
    </rPh>
    <phoneticPr fontId="1"/>
  </si>
  <si>
    <t>プロジェクト番号</t>
    <rPh sb="6" eb="8">
      <t>バンゴウ</t>
    </rPh>
    <phoneticPr fontId="1"/>
  </si>
  <si>
    <t xml:space="preserve"> 深夜時間外</t>
    <rPh sb="1" eb="3">
      <t>シンヤ</t>
    </rPh>
    <rPh sb="3" eb="6">
      <t>ジカンガイ</t>
    </rPh>
    <phoneticPr fontId="1"/>
  </si>
  <si>
    <t xml:space="preserve"> 最低勤務時間</t>
    <rPh sb="1" eb="3">
      <t>サイテイ</t>
    </rPh>
    <rPh sb="3" eb="5">
      <t>キンム</t>
    </rPh>
    <rPh sb="5" eb="7">
      <t>ジカン</t>
    </rPh>
    <phoneticPr fontId="1"/>
  </si>
  <si>
    <t xml:space="preserve"> 稼働時間</t>
    <rPh sb="1" eb="3">
      <t>カドウ</t>
    </rPh>
    <rPh sb="3" eb="5">
      <t>ジカン</t>
    </rPh>
    <phoneticPr fontId="1"/>
  </si>
  <si>
    <t xml:space="preserve"> 標準時間外</t>
    <rPh sb="1" eb="3">
      <t>ヒョウジュン</t>
    </rPh>
    <rPh sb="3" eb="5">
      <t>ジカン</t>
    </rPh>
    <rPh sb="5" eb="6">
      <t>ガイ</t>
    </rPh>
    <phoneticPr fontId="1"/>
  </si>
  <si>
    <t xml:space="preserve"> 休日勤務</t>
    <rPh sb="1" eb="3">
      <t>キュウジツ</t>
    </rPh>
    <rPh sb="3" eb="5">
      <t>キンム</t>
    </rPh>
    <phoneticPr fontId="1"/>
  </si>
  <si>
    <t>非稼働日にＰｎｏが入力されていないこと</t>
    <rPh sb="0" eb="1">
      <t>ヒ</t>
    </rPh>
    <rPh sb="1" eb="3">
      <t>カドウ</t>
    </rPh>
    <rPh sb="3" eb="4">
      <t>ビ</t>
    </rPh>
    <rPh sb="9" eb="11">
      <t>ニュウリョク</t>
    </rPh>
    <phoneticPr fontId="26"/>
  </si>
  <si>
    <t>稼働日にＰｎｏが入力されていること</t>
    <rPh sb="0" eb="2">
      <t>カドウ</t>
    </rPh>
    <rPh sb="2" eb="3">
      <t>ビ</t>
    </rPh>
    <rPh sb="8" eb="10">
      <t>ニュウリョク</t>
    </rPh>
    <phoneticPr fontId="26"/>
  </si>
  <si>
    <t>E112_非稼働日にＰｎｏが入力されています</t>
  </si>
  <si>
    <t>E113_稼働日にＰｎｏが入力されていません</t>
  </si>
  <si>
    <t xml:space="preserve"> 　 h   m</t>
    <phoneticPr fontId="1"/>
  </si>
  <si>
    <t>Pno</t>
  </si>
  <si>
    <t>ﾌﾟﾛｼﾞｪｸﾄ名</t>
  </si>
  <si>
    <t>ﾌﾟﾛｼﾞｪｸﾄ番号</t>
  </si>
  <si>
    <t>ﾌﾟﾛｼﾞｪｸﾄ毎稼動実績(業務部記入)</t>
  </si>
  <si>
    <t>21～末日</t>
  </si>
  <si>
    <t>1～20日</t>
  </si>
  <si>
    <t>合計</t>
  </si>
  <si>
    <t>合　　計</t>
  </si>
  <si>
    <t>●</t>
    <phoneticPr fontId="26"/>
  </si>
  <si>
    <t>●</t>
    <phoneticPr fontId="26"/>
  </si>
  <si>
    <t>E201_出退勤時刻に23時59分より小さい値を入力してください</t>
    <phoneticPr fontId="26"/>
  </si>
  <si>
    <t>●</t>
    <phoneticPr fontId="26"/>
  </si>
  <si>
    <t>退勤時刻が9時10分～8時00分(32時00分)の範囲内であること</t>
    <rPh sb="0" eb="2">
      <t>タイキン</t>
    </rPh>
    <phoneticPr fontId="26"/>
  </si>
  <si>
    <t>勤怠届</t>
    <rPh sb="0" eb="2">
      <t>キンタイ</t>
    </rPh>
    <rPh sb="2" eb="3">
      <t>トド</t>
    </rPh>
    <phoneticPr fontId="1"/>
  </si>
  <si>
    <t>エラーＭＳＧ</t>
    <phoneticPr fontId="26"/>
  </si>
  <si>
    <t>退勤時刻</t>
    <phoneticPr fontId="26"/>
  </si>
  <si>
    <t>外出時刻</t>
    <phoneticPr fontId="26"/>
  </si>
  <si>
    <t>Ｐｎｏ</t>
    <phoneticPr fontId="26"/>
  </si>
  <si>
    <t>●</t>
    <phoneticPr fontId="26"/>
  </si>
  <si>
    <t>●</t>
    <phoneticPr fontId="26"/>
  </si>
  <si>
    <t>●</t>
    <phoneticPr fontId="26"/>
  </si>
  <si>
    <t>●</t>
    <phoneticPr fontId="26"/>
  </si>
  <si>
    <t>E111_勤怠区分『休日/休暇』に対し、出退勤時刻が入力されています</t>
    <phoneticPr fontId="26"/>
  </si>
  <si>
    <t>E205_外出時刻に23時59分より小さい値を入力してください</t>
    <phoneticPr fontId="26"/>
  </si>
  <si>
    <t>外出時刻が9時00分～7時50分(31時50分)の範囲内であること</t>
    <phoneticPr fontId="26"/>
  </si>
  <si>
    <t>E301_0時間勤務です</t>
    <phoneticPr fontId="26"/>
  </si>
  <si>
    <t>E302_特勤扱いとなります</t>
    <phoneticPr fontId="26"/>
  </si>
  <si>
    <t>E303_特勤ではありません</t>
    <phoneticPr fontId="26"/>
  </si>
  <si>
    <t>E304_特勤扱いとなります</t>
    <phoneticPr fontId="26"/>
  </si>
  <si>
    <t>E305_特勤ではありません</t>
    <phoneticPr fontId="26"/>
  </si>
  <si>
    <t>E306_備考欄が記入されていません（旅費）</t>
    <phoneticPr fontId="26"/>
  </si>
  <si>
    <t>E307_備考欄が記入されていません（勤怠）</t>
    <phoneticPr fontId="26"/>
  </si>
  <si>
    <t>etc</t>
    <phoneticPr fontId="26"/>
  </si>
  <si>
    <t>msgbox"振出：振休 の数が一致していません"</t>
    <phoneticPr fontId="26"/>
  </si>
  <si>
    <t>etc</t>
    <phoneticPr fontId="26"/>
  </si>
  <si>
    <t>msgbox"振替可能な休出がありますが、継続しますか。"</t>
    <phoneticPr fontId="26"/>
  </si>
  <si>
    <t>etc</t>
    <phoneticPr fontId="26"/>
  </si>
  <si>
    <t>msgbox"所定終業時間を満たしていませんが、確認しますか。"</t>
    <phoneticPr fontId="26"/>
  </si>
  <si>
    <t>No.</t>
    <phoneticPr fontId="26"/>
  </si>
  <si>
    <t>LV</t>
    <phoneticPr fontId="26"/>
  </si>
  <si>
    <t>E202_出勤時刻範囲外です『8:00～翌7:50まで』</t>
    <rPh sb="20" eb="21">
      <t>ヨク</t>
    </rPh>
    <phoneticPr fontId="26"/>
  </si>
  <si>
    <t>E203_退勤時刻範囲外です『9:10～翌8:00まで』</t>
    <rPh sb="20" eb="21">
      <t>ヨク</t>
    </rPh>
    <phoneticPr fontId="26"/>
  </si>
  <si>
    <t>E206_外出時刻範囲外です『9:00～翌7:50まで』</t>
    <rPh sb="20" eb="21">
      <t>ヨク</t>
    </rPh>
    <phoneticPr fontId="26"/>
  </si>
  <si>
    <t>E207_外入時刻範囲外です『9:10～翌7:50まで』</t>
    <rPh sb="20" eb="21">
      <t>ヨク</t>
    </rPh>
    <phoneticPr fontId="26"/>
  </si>
  <si>
    <t>曜</t>
    <phoneticPr fontId="1"/>
  </si>
  <si>
    <t>始h</t>
    <phoneticPr fontId="1"/>
  </si>
  <si>
    <t>始m</t>
    <phoneticPr fontId="1"/>
  </si>
  <si>
    <t>終h</t>
    <phoneticPr fontId="1"/>
  </si>
  <si>
    <t>終m</t>
    <phoneticPr fontId="1"/>
  </si>
  <si>
    <t>勤務時間x</t>
    <phoneticPr fontId="1"/>
  </si>
  <si>
    <t>氏名：　　　　　　　　　　　　　　</t>
    <rPh sb="0" eb="2">
      <t>シメイ</t>
    </rPh>
    <phoneticPr fontId="1"/>
  </si>
  <si>
    <t>特勤AM</t>
    <rPh sb="0" eb="1">
      <t>トク</t>
    </rPh>
    <rPh sb="1" eb="2">
      <t>ツトム</t>
    </rPh>
    <phoneticPr fontId="1"/>
  </si>
  <si>
    <t>特勤PM</t>
    <rPh sb="0" eb="1">
      <t>トク</t>
    </rPh>
    <rPh sb="1" eb="2">
      <t>ツトム</t>
    </rPh>
    <phoneticPr fontId="1"/>
  </si>
  <si>
    <t>外出AM</t>
    <rPh sb="0" eb="2">
      <t>ガイシュツ</t>
    </rPh>
    <phoneticPr fontId="1"/>
  </si>
  <si>
    <t>外出PM</t>
    <rPh sb="0" eb="2">
      <t>ガイシュツ</t>
    </rPh>
    <phoneticPr fontId="1"/>
  </si>
  <si>
    <t>～</t>
    <phoneticPr fontId="1"/>
  </si>
  <si>
    <t>Pno</t>
    <phoneticPr fontId="1"/>
  </si>
  <si>
    <t>出勤予定日数（＋休暇）</t>
    <phoneticPr fontId="1"/>
  </si>
  <si>
    <t>出勤</t>
    <phoneticPr fontId="1"/>
  </si>
  <si>
    <t>退勤</t>
    <phoneticPr fontId="1"/>
  </si>
  <si>
    <t>Pno</t>
    <phoneticPr fontId="1"/>
  </si>
  <si>
    <t>バージョン</t>
    <phoneticPr fontId="1"/>
  </si>
  <si>
    <t>修正内容</t>
    <rPh sb="0" eb="2">
      <t>シュウセイ</t>
    </rPh>
    <rPh sb="2" eb="4">
      <t>ナイヨウ</t>
    </rPh>
    <phoneticPr fontId="1"/>
  </si>
  <si>
    <t>社員全体で活用できるように入力用シートをの以下を修正
・Pnoを4まで入力できるよに修正
・勤怠に入力があり、備考に入力がない場合にエラーとするチェックを解除
・件名は縮小して全体を表示にするように修正
・Pnoが入力されていない場合、1が設定されたものとするよう修正
・改ざん防止のため、入力不要なフィールは操作できないよう修正</t>
    <rPh sb="0" eb="2">
      <t>シャイン</t>
    </rPh>
    <rPh sb="2" eb="4">
      <t>ゼンタイ</t>
    </rPh>
    <rPh sb="5" eb="7">
      <t>カツヨウ</t>
    </rPh>
    <rPh sb="13" eb="15">
      <t>ニュウリョク</t>
    </rPh>
    <rPh sb="15" eb="16">
      <t>ヨウ</t>
    </rPh>
    <rPh sb="21" eb="23">
      <t>イカ</t>
    </rPh>
    <rPh sb="24" eb="26">
      <t>シュウセイ</t>
    </rPh>
    <rPh sb="35" eb="37">
      <t>ニュウリョク</t>
    </rPh>
    <rPh sb="42" eb="44">
      <t>シュウセイ</t>
    </rPh>
    <rPh sb="46" eb="48">
      <t>キンタイ</t>
    </rPh>
    <rPh sb="49" eb="51">
      <t>ニュウリョク</t>
    </rPh>
    <rPh sb="55" eb="57">
      <t>ビコウ</t>
    </rPh>
    <rPh sb="58" eb="60">
      <t>ニュウリョク</t>
    </rPh>
    <rPh sb="63" eb="65">
      <t>バアイ</t>
    </rPh>
    <rPh sb="77" eb="79">
      <t>カイジョ</t>
    </rPh>
    <rPh sb="99" eb="101">
      <t>シュウセイ</t>
    </rPh>
    <rPh sb="107" eb="109">
      <t>ニュウリョク</t>
    </rPh>
    <rPh sb="115" eb="117">
      <t>バアイ</t>
    </rPh>
    <rPh sb="120" eb="122">
      <t>セッテイ</t>
    </rPh>
    <rPh sb="132" eb="134">
      <t>シュウセイ</t>
    </rPh>
    <rPh sb="136" eb="137">
      <t>カイ</t>
    </rPh>
    <rPh sb="139" eb="141">
      <t>ボウシ</t>
    </rPh>
    <rPh sb="145" eb="147">
      <t>ニュウリョク</t>
    </rPh>
    <rPh sb="147" eb="149">
      <t>フヨウ</t>
    </rPh>
    <rPh sb="155" eb="157">
      <t>ソウサ</t>
    </rPh>
    <rPh sb="163" eb="165">
      <t>シュウセイ</t>
    </rPh>
    <phoneticPr fontId="1"/>
  </si>
  <si>
    <t xml:space="preserve">１か月分を入力後、チェックボタンを押下すると印刷用が作成されますが、
プロジェクト番号２がプロジェクト名２へ転機されている。
（３または４が入力されている場合は問題ありません） 
　　誤）Prt.Range("J6") = Range("H4")
　　正）Prt.Range("J6") = Range("N4")
</t>
    <phoneticPr fontId="1"/>
  </si>
  <si>
    <t>30日しか存在しない月度の場合に１日の時間が出力されない</t>
    <rPh sb="2" eb="3">
      <t>ニチ</t>
    </rPh>
    <rPh sb="5" eb="7">
      <t>ソンザイ</t>
    </rPh>
    <rPh sb="10" eb="12">
      <t>ゲツド</t>
    </rPh>
    <rPh sb="13" eb="15">
      <t>バアイ</t>
    </rPh>
    <rPh sb="17" eb="18">
      <t>ニチ</t>
    </rPh>
    <rPh sb="19" eb="21">
      <t>ジカン</t>
    </rPh>
    <rPh sb="22" eb="24">
      <t>シュツリョク</t>
    </rPh>
    <phoneticPr fontId="1"/>
  </si>
  <si>
    <t>・外出欄の出力形式を変更できないよう修正
・プロジェクトごとの稼働実績が0の場合、0が入るよう修正
・印刷された勤務表の左余白を少し増やすよう修正
・Pnoに0が指定された場合、出勤・退勤をチェックしないよう修正
・チェックボックスの「初期値(Pno)」にチェックが入っていない場合、Pnoを自動で追加しないよう修正</t>
    <rPh sb="1" eb="3">
      <t>ガイシュツ</t>
    </rPh>
    <rPh sb="3" eb="4">
      <t>ラン</t>
    </rPh>
    <rPh sb="5" eb="7">
      <t>シュツリョク</t>
    </rPh>
    <rPh sb="7" eb="9">
      <t>ケイシキ</t>
    </rPh>
    <rPh sb="10" eb="12">
      <t>ヘンコウ</t>
    </rPh>
    <rPh sb="18" eb="20">
      <t>シュウセイ</t>
    </rPh>
    <rPh sb="31" eb="33">
      <t>カドウ</t>
    </rPh>
    <rPh sb="33" eb="35">
      <t>ジッセキ</t>
    </rPh>
    <rPh sb="38" eb="40">
      <t>バアイ</t>
    </rPh>
    <rPh sb="43" eb="44">
      <t>ハイ</t>
    </rPh>
    <rPh sb="47" eb="49">
      <t>シュウセイ</t>
    </rPh>
    <rPh sb="51" eb="53">
      <t>インサツ</t>
    </rPh>
    <rPh sb="56" eb="58">
      <t>キンム</t>
    </rPh>
    <rPh sb="58" eb="59">
      <t>ヒョウ</t>
    </rPh>
    <rPh sb="60" eb="61">
      <t>ヒダリ</t>
    </rPh>
    <rPh sb="61" eb="63">
      <t>ヨハク</t>
    </rPh>
    <rPh sb="64" eb="65">
      <t>スコ</t>
    </rPh>
    <rPh sb="66" eb="67">
      <t>フ</t>
    </rPh>
    <rPh sb="71" eb="73">
      <t>シュウセイ</t>
    </rPh>
    <rPh sb="81" eb="83">
      <t>シテイ</t>
    </rPh>
    <rPh sb="86" eb="88">
      <t>バアイ</t>
    </rPh>
    <rPh sb="89" eb="91">
      <t>シュッキン</t>
    </rPh>
    <rPh sb="92" eb="94">
      <t>タイキン</t>
    </rPh>
    <rPh sb="104" eb="106">
      <t>シュウセイ</t>
    </rPh>
    <rPh sb="118" eb="121">
      <t>ショキチ</t>
    </rPh>
    <rPh sb="133" eb="134">
      <t>ハイ</t>
    </rPh>
    <rPh sb="139" eb="141">
      <t>バアイ</t>
    </rPh>
    <rPh sb="146" eb="148">
      <t>ジドウ</t>
    </rPh>
    <rPh sb="149" eb="151">
      <t>ツイカ</t>
    </rPh>
    <rPh sb="156" eb="158">
      <t>シュウセイ</t>
    </rPh>
    <phoneticPr fontId="1"/>
  </si>
  <si>
    <t>・山の日に対応
・office2003版を追加</t>
    <phoneticPr fontId="1"/>
  </si>
  <si>
    <t>01-2701</t>
    <phoneticPr fontId="1"/>
  </si>
  <si>
    <t>・年号を西暦に変更
・稼働がない部分を「0h00m」→「  h  m」に変更
・保管用穴あけのため、左余白を増やす</t>
    <rPh sb="1" eb="3">
      <t>ネンゴウ</t>
    </rPh>
    <rPh sb="4" eb="6">
      <t>セイレキ</t>
    </rPh>
    <rPh sb="7" eb="9">
      <t>ヘンコウ</t>
    </rPh>
    <rPh sb="11" eb="13">
      <t>カドウ</t>
    </rPh>
    <rPh sb="16" eb="18">
      <t>ブブン</t>
    </rPh>
    <rPh sb="36" eb="38">
      <t>ヘンコウ</t>
    </rPh>
    <rPh sb="40" eb="43">
      <t>ホカンヨウ</t>
    </rPh>
    <rPh sb="43" eb="44">
      <t>アナ</t>
    </rPh>
    <rPh sb="50" eb="51">
      <t>ヒダリ</t>
    </rPh>
    <rPh sb="51" eb="53">
      <t>ヨハク</t>
    </rPh>
    <rPh sb="54" eb="55">
      <t>フ</t>
    </rPh>
    <phoneticPr fontId="1"/>
  </si>
  <si>
    <t xml:space="preserve"> 　 h   m</t>
  </si>
  <si>
    <t>(Ver 1.7)</t>
    <phoneticPr fontId="1"/>
  </si>
  <si>
    <t>第２システム部</t>
    <rPh sb="0" eb="1">
      <t>ダイ</t>
    </rPh>
    <rPh sb="6" eb="7">
      <t>ブ</t>
    </rPh>
    <phoneticPr fontId="1"/>
  </si>
  <si>
    <t>23105</t>
    <phoneticPr fontId="1"/>
  </si>
  <si>
    <t>S29039-00</t>
  </si>
  <si>
    <t>S29039-00</t>
    <phoneticPr fontId="1"/>
  </si>
  <si>
    <t>各種改善検討</t>
  </si>
  <si>
    <t>各種改善検討</t>
    <phoneticPr fontId="1"/>
  </si>
  <si>
    <t xml:space="preserve"> </t>
  </si>
  <si>
    <t>昭和の日</t>
  </si>
  <si>
    <t>憲法記念日</t>
  </si>
  <si>
    <t>みどりの日</t>
  </si>
  <si>
    <t>こどもの日</t>
  </si>
  <si>
    <t>振替休日</t>
  </si>
  <si>
    <t>OK</t>
  </si>
  <si>
    <t>振休</t>
  </si>
  <si>
    <t>振出</t>
  </si>
  <si>
    <t>２０２０年　５月度　　勤　務　表</t>
    <phoneticPr fontId="1"/>
  </si>
  <si>
    <t xml:space="preserve"> 9:00</t>
    <phoneticPr fontId="1"/>
  </si>
  <si>
    <t xml:space="preserve"> </t>
    <phoneticPr fontId="1"/>
  </si>
  <si>
    <t>10 h 00 m</t>
    <phoneticPr fontId="1"/>
  </si>
  <si>
    <t xml:space="preserve"> </t>
    <phoneticPr fontId="1"/>
  </si>
  <si>
    <t xml:space="preserve"> </t>
    <phoneticPr fontId="1"/>
  </si>
  <si>
    <t xml:space="preserve"> 9:00</t>
    <phoneticPr fontId="1"/>
  </si>
  <si>
    <t xml:space="preserve">  66h 30m</t>
    <phoneticPr fontId="1"/>
  </si>
  <si>
    <t xml:space="preserve"> 8 h 30 m</t>
    <phoneticPr fontId="1"/>
  </si>
  <si>
    <t xml:space="preserve"> </t>
    <phoneticPr fontId="1"/>
  </si>
  <si>
    <t xml:space="preserve"> 6 h 30 m</t>
    <phoneticPr fontId="1"/>
  </si>
  <si>
    <t>12 h 30 m</t>
    <phoneticPr fontId="1"/>
  </si>
  <si>
    <t xml:space="preserve"> 0:00</t>
    <phoneticPr fontId="1"/>
  </si>
  <si>
    <t>12 h 00 m</t>
    <phoneticPr fontId="1"/>
  </si>
  <si>
    <t xml:space="preserve"> 103h 50m</t>
    <phoneticPr fontId="1"/>
  </si>
  <si>
    <t xml:space="preserve"> 170h 20m</t>
    <phoneticPr fontId="1"/>
  </si>
  <si>
    <t>所属：第２システム部</t>
    <phoneticPr fontId="1"/>
  </si>
  <si>
    <t>社員番号：　２３１０５　　</t>
    <phoneticPr fontId="1"/>
  </si>
  <si>
    <t xml:space="preserve"> 8 h 00 m</t>
    <phoneticPr fontId="1"/>
  </si>
  <si>
    <t xml:space="preserve"> 9 h 50 m</t>
    <phoneticPr fontId="1"/>
  </si>
  <si>
    <t xml:space="preserve"> </t>
    <phoneticPr fontId="1"/>
  </si>
  <si>
    <t xml:space="preserve"> </t>
    <phoneticPr fontId="1"/>
  </si>
  <si>
    <t xml:space="preserve"> 9 h 00 m</t>
    <phoneticPr fontId="1"/>
  </si>
  <si>
    <t xml:space="preserve"> 9 h 40 m</t>
    <phoneticPr fontId="1"/>
  </si>
  <si>
    <t xml:space="preserve"> </t>
    <phoneticPr fontId="1"/>
  </si>
  <si>
    <t xml:space="preserve">   h   m</t>
    <phoneticPr fontId="1"/>
  </si>
  <si>
    <t xml:space="preserve">  66h 30m</t>
    <phoneticPr fontId="1"/>
  </si>
  <si>
    <t xml:space="preserve"> 9 h 30 m</t>
    <phoneticPr fontId="1"/>
  </si>
  <si>
    <t xml:space="preserve"> 8 h 30 m</t>
    <phoneticPr fontId="1"/>
  </si>
  <si>
    <t xml:space="preserve"> </t>
    <phoneticPr fontId="1"/>
  </si>
  <si>
    <t xml:space="preserve"> 8 h 30 m</t>
    <phoneticPr fontId="1"/>
  </si>
  <si>
    <t>10 h 30 m</t>
    <phoneticPr fontId="1"/>
  </si>
  <si>
    <t xml:space="preserve"> 8 h 00 m</t>
    <phoneticPr fontId="1"/>
  </si>
  <si>
    <t xml:space="preserve"> 1:30</t>
    <phoneticPr fontId="1"/>
  </si>
  <si>
    <t>11 h 20 m</t>
    <phoneticPr fontId="1"/>
  </si>
  <si>
    <t xml:space="preserve">   h   m</t>
    <phoneticPr fontId="1"/>
  </si>
  <si>
    <t xml:space="preserve"> 170h 20m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</si>
</sst>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[h]:mm"/>
    <numFmt numFmtId="177" formatCode="0_ "/>
    <numFmt numFmtId="178" formatCode="0_);[Red]\(0\)"/>
    <numFmt numFmtId="179" formatCode="[Blue][&gt;=7]aaa;[Red][&lt;=1]aaa;[Black]aaa"/>
    <numFmt numFmtId="180" formatCode="[Blue]000"/>
    <numFmt numFmtId="181" formatCode="yyyy/mm/dd"/>
    <numFmt numFmtId="182" formatCode="00000"/>
    <numFmt numFmtId="183" formatCode="&quot;¥&quot;#,##0_);[Red]\(&quot;¥&quot;#,##0\)"/>
    <numFmt numFmtId="184" formatCode="[Blue][=8]aaa;[Red][=2]aaa;[Black]aaa"/>
    <numFmt numFmtId="185" formatCode="[h]&quot;時&quot;mm&quot;分 &quot;;@"/>
    <numFmt numFmtId="186" formatCode="[h]&quot;時&quot;mm&quot;分 &quot;"/>
    <numFmt numFmtId="187" formatCode="0.00_ "/>
  </numFmts>
  <fonts count="32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MS UI Gothic"/>
      <family val="3"/>
      <charset val="128"/>
    </font>
    <font>
      <sz val="8"/>
      <name val="MS UI Gothic"/>
      <family val="3"/>
      <charset val="128"/>
    </font>
    <font>
      <sz val="10"/>
      <name val="MS UI Gothic"/>
      <family val="3"/>
      <charset val="128"/>
    </font>
    <font>
      <sz val="11"/>
      <name val="MS UI Gothic"/>
      <family val="3"/>
      <charset val="128"/>
    </font>
    <font>
      <sz val="11"/>
      <color indexed="55"/>
      <name val="MS UI Gothic"/>
      <family val="3"/>
      <charset val="128"/>
    </font>
    <font>
      <u/>
      <sz val="12"/>
      <name val="MS UI Gothic"/>
      <family val="3"/>
      <charset val="128"/>
    </font>
    <font>
      <sz val="10"/>
      <color indexed="10"/>
      <name val="MS UI Gothic"/>
      <family val="3"/>
      <charset val="128"/>
    </font>
    <font>
      <sz val="10"/>
      <color indexed="12"/>
      <name val="MS UI Gothic"/>
      <family val="3"/>
      <charset val="128"/>
    </font>
    <font>
      <sz val="11"/>
      <color indexed="44"/>
      <name val="MS UI Gothic"/>
      <family val="3"/>
      <charset val="128"/>
    </font>
    <font>
      <sz val="8"/>
      <color indexed="44"/>
      <name val="MS UI Gothic"/>
      <family val="3"/>
      <charset val="128"/>
    </font>
    <font>
      <sz val="11"/>
      <color indexed="12"/>
      <name val="MS UI Gothic"/>
      <family val="3"/>
      <charset val="128"/>
    </font>
    <font>
      <sz val="11"/>
      <color indexed="10"/>
      <name val="MS UI Gothic"/>
      <family val="3"/>
      <charset val="128"/>
    </font>
    <font>
      <sz val="11"/>
      <color indexed="14"/>
      <name val="MS UI Gothic"/>
      <family val="3"/>
      <charset val="128"/>
    </font>
    <font>
      <sz val="9"/>
      <color indexed="50"/>
      <name val="MS UI Gothic"/>
      <family val="3"/>
      <charset val="128"/>
    </font>
    <font>
      <b/>
      <sz val="10"/>
      <name val="MS UI Gothic"/>
      <family val="3"/>
      <charset val="128"/>
    </font>
    <font>
      <b/>
      <sz val="16"/>
      <name val="ＭＳ 明朝"/>
      <family val="1"/>
      <charset val="128"/>
    </font>
    <font>
      <b/>
      <sz val="10"/>
      <name val="ＭＳ 明朝"/>
      <family val="1"/>
      <charset val="128"/>
    </font>
    <font>
      <sz val="10"/>
      <name val="ＭＳ 明朝"/>
      <family val="1"/>
      <charset val="128"/>
    </font>
    <font>
      <u/>
      <sz val="10"/>
      <name val="ＭＳ 明朝"/>
      <family val="1"/>
      <charset val="128"/>
    </font>
    <font>
      <sz val="8"/>
      <name val="ＭＳ 明朝"/>
      <family val="1"/>
      <charset val="128"/>
    </font>
    <font>
      <b/>
      <sz val="9"/>
      <name val="ＭＳ 明朝"/>
      <family val="1"/>
      <charset val="128"/>
    </font>
    <font>
      <u/>
      <sz val="11"/>
      <name val="MS UI Gothic"/>
      <family val="3"/>
      <charset val="128"/>
    </font>
    <font>
      <sz val="8"/>
      <color indexed="53"/>
      <name val="MS UI Gothic"/>
      <family val="3"/>
      <charset val="128"/>
    </font>
    <font>
      <sz val="10"/>
      <name val="ＭＳ ゴシック"/>
      <family val="3"/>
      <charset val="128"/>
    </font>
    <font>
      <sz val="6"/>
      <name val="ＭＳ ゴシック"/>
      <family val="3"/>
      <charset val="128"/>
    </font>
    <font>
      <sz val="11"/>
      <name val="ＭＳ ＰＲゴシック"/>
      <family val="3"/>
      <charset val="128"/>
    </font>
    <font>
      <sz val="10"/>
      <name val="TB丸ｺﾞｼｯｸR"/>
      <family val="3"/>
      <charset val="128"/>
    </font>
    <font>
      <sz val="9"/>
      <name val="ＭＳ ＰＲゴシック"/>
      <family val="3"/>
      <charset val="128"/>
    </font>
    <font>
      <sz val="9"/>
      <name val="ＭＳ 明朝"/>
      <family val="1"/>
      <charset val="128"/>
    </font>
    <font>
      <i/>
      <sz val="11"/>
      <color indexed="12"/>
      <name val="MS UI Gothic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</fills>
  <borders count="7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 style="thin">
        <color indexed="64"/>
      </diagonal>
    </border>
    <border diagonalDown="1"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 style="thin">
        <color indexed="64"/>
      </diagonal>
    </border>
    <border diagonalDown="1"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 style="thin">
        <color indexed="64"/>
      </diagonal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0" fontId="25" fillId="0" borderId="0">
      <alignment vertical="center"/>
    </xf>
  </cellStyleXfs>
  <cellXfs count="286">
    <xf numFmtId="0" fontId="0" fillId="0" borderId="0" xfId="0"/>
    <xf numFmtId="181" fontId="4" fillId="0" borderId="0" xfId="0" applyNumberFormat="1" applyFont="1" applyFill="1" applyBorder="1" applyAlignment="1">
      <alignment horizontal="center" vertical="center"/>
    </xf>
    <xf numFmtId="0" fontId="4" fillId="0" borderId="0" xfId="0" applyFont="1"/>
    <xf numFmtId="0" fontId="4" fillId="0" borderId="0" xfId="0" applyFont="1" applyAlignment="1" applyProtection="1">
      <alignment horizontal="left"/>
    </xf>
    <xf numFmtId="0" fontId="4" fillId="0" borderId="0" xfId="0" applyFont="1" applyProtection="1"/>
    <xf numFmtId="0" fontId="4" fillId="2" borderId="1" xfId="0" applyFont="1" applyFill="1" applyBorder="1"/>
    <xf numFmtId="0" fontId="4" fillId="0" borderId="1" xfId="0" applyFont="1" applyBorder="1"/>
    <xf numFmtId="182" fontId="4" fillId="0" borderId="1" xfId="0" applyNumberFormat="1" applyFont="1" applyBorder="1"/>
    <xf numFmtId="0" fontId="5" fillId="0" borderId="0" xfId="0" applyFont="1" applyFill="1" applyBorder="1" applyAlignment="1" applyProtection="1">
      <alignment horizontal="center"/>
      <protection hidden="1"/>
    </xf>
    <xf numFmtId="0" fontId="5" fillId="0" borderId="0" xfId="0" applyFont="1" applyFill="1" applyBorder="1" applyProtection="1">
      <protection hidden="1"/>
    </xf>
    <xf numFmtId="0" fontId="5" fillId="0" borderId="0" xfId="0" applyFont="1" applyFill="1" applyBorder="1" applyAlignment="1" applyProtection="1">
      <alignment horizontal="left"/>
      <protection hidden="1"/>
    </xf>
    <xf numFmtId="49" fontId="5" fillId="0" borderId="0" xfId="0" quotePrefix="1" applyNumberFormat="1" applyFont="1" applyFill="1" applyBorder="1" applyAlignment="1" applyProtection="1">
      <alignment horizontal="left"/>
      <protection hidden="1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4" fillId="0" borderId="6" xfId="0" applyNumberFormat="1" applyFont="1" applyBorder="1" applyProtection="1"/>
    <xf numFmtId="0" fontId="4" fillId="0" borderId="7" xfId="0" applyNumberFormat="1" applyFont="1" applyBorder="1" applyProtection="1"/>
    <xf numFmtId="0" fontId="4" fillId="0" borderId="1" xfId="0" applyNumberFormat="1" applyFont="1" applyBorder="1" applyProtection="1"/>
    <xf numFmtId="0" fontId="4" fillId="0" borderId="4" xfId="0" applyNumberFormat="1" applyFont="1" applyBorder="1" applyProtection="1"/>
    <xf numFmtId="0" fontId="4" fillId="0" borderId="8" xfId="0" applyNumberFormat="1" applyFont="1" applyBorder="1" applyProtection="1"/>
    <xf numFmtId="0" fontId="4" fillId="0" borderId="3" xfId="0" applyNumberFormat="1" applyFont="1" applyBorder="1" applyProtection="1"/>
    <xf numFmtId="0" fontId="4" fillId="0" borderId="9" xfId="0" applyNumberFormat="1" applyFont="1" applyBorder="1" applyProtection="1"/>
    <xf numFmtId="0" fontId="4" fillId="0" borderId="10" xfId="0" applyNumberFormat="1" applyFont="1" applyBorder="1" applyProtection="1"/>
    <xf numFmtId="0" fontId="4" fillId="0" borderId="11" xfId="0" applyNumberFormat="1" applyFont="1" applyBorder="1" applyProtection="1"/>
    <xf numFmtId="0" fontId="4" fillId="0" borderId="12" xfId="0" applyNumberFormat="1" applyFont="1" applyBorder="1" applyProtection="1"/>
    <xf numFmtId="0" fontId="4" fillId="0" borderId="5" xfId="0" applyNumberFormat="1" applyFont="1" applyBorder="1" applyProtection="1"/>
    <xf numFmtId="0" fontId="4" fillId="0" borderId="2" xfId="0" applyNumberFormat="1" applyFont="1" applyBorder="1" applyProtection="1"/>
    <xf numFmtId="0" fontId="4" fillId="0" borderId="13" xfId="0" applyNumberFormat="1" applyFont="1" applyBorder="1" applyProtection="1"/>
    <xf numFmtId="0" fontId="4" fillId="0" borderId="14" xfId="0" applyNumberFormat="1" applyFont="1" applyBorder="1" applyProtection="1"/>
    <xf numFmtId="0" fontId="4" fillId="2" borderId="15" xfId="0" applyFont="1" applyFill="1" applyBorder="1" applyAlignment="1" applyProtection="1">
      <alignment horizontal="center"/>
    </xf>
    <xf numFmtId="0" fontId="4" fillId="2" borderId="16" xfId="0" applyFont="1" applyFill="1" applyBorder="1" applyAlignment="1" applyProtection="1">
      <alignment horizontal="center"/>
    </xf>
    <xf numFmtId="0" fontId="4" fillId="2" borderId="17" xfId="0" applyFont="1" applyFill="1" applyBorder="1" applyAlignment="1" applyProtection="1">
      <alignment horizontal="center"/>
    </xf>
    <xf numFmtId="0" fontId="4" fillId="2" borderId="18" xfId="0" applyFont="1" applyFill="1" applyBorder="1" applyAlignment="1" applyProtection="1">
      <alignment horizontal="center"/>
    </xf>
    <xf numFmtId="0" fontId="4" fillId="2" borderId="19" xfId="0" applyFont="1" applyFill="1" applyBorder="1" applyAlignment="1" applyProtection="1">
      <alignment horizontal="center"/>
    </xf>
    <xf numFmtId="0" fontId="5" fillId="0" borderId="20" xfId="0" applyFont="1" applyFill="1" applyBorder="1" applyAlignment="1" applyProtection="1">
      <alignment horizontal="center"/>
      <protection hidden="1"/>
    </xf>
    <xf numFmtId="179" fontId="4" fillId="0" borderId="20" xfId="0" applyNumberFormat="1" applyFont="1" applyFill="1" applyBorder="1" applyAlignment="1" applyProtection="1">
      <alignment horizontal="center"/>
      <protection hidden="1"/>
    </xf>
    <xf numFmtId="0" fontId="10" fillId="3" borderId="20" xfId="0" applyFont="1" applyFill="1" applyBorder="1" applyAlignment="1" applyProtection="1">
      <alignment horizontal="center"/>
      <protection hidden="1"/>
    </xf>
    <xf numFmtId="0" fontId="4" fillId="0" borderId="21" xfId="0" applyNumberFormat="1" applyFont="1" applyBorder="1" applyProtection="1"/>
    <xf numFmtId="0" fontId="3" fillId="2" borderId="22" xfId="0" applyFont="1" applyFill="1" applyBorder="1"/>
    <xf numFmtId="0" fontId="3" fillId="2" borderId="23" xfId="0" applyFont="1" applyFill="1" applyBorder="1"/>
    <xf numFmtId="20" fontId="16" fillId="0" borderId="20" xfId="0" applyNumberFormat="1" applyFont="1" applyFill="1" applyBorder="1" applyProtection="1">
      <protection hidden="1"/>
    </xf>
    <xf numFmtId="0" fontId="16" fillId="0" borderId="20" xfId="0" applyNumberFormat="1" applyFont="1" applyFill="1" applyBorder="1" applyProtection="1">
      <protection hidden="1"/>
    </xf>
    <xf numFmtId="176" fontId="16" fillId="0" borderId="20" xfId="0" applyNumberFormat="1" applyFont="1" applyFill="1" applyBorder="1" applyProtection="1">
      <protection hidden="1"/>
    </xf>
    <xf numFmtId="0" fontId="5" fillId="0" borderId="0" xfId="0" applyFont="1" applyFill="1" applyBorder="1" applyAlignment="1" applyProtection="1">
      <alignment horizontal="right"/>
      <protection hidden="1"/>
    </xf>
    <xf numFmtId="0" fontId="8" fillId="0" borderId="14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184" fontId="5" fillId="0" borderId="20" xfId="0" applyNumberFormat="1" applyFont="1" applyFill="1" applyBorder="1" applyAlignment="1" applyProtection="1">
      <alignment horizontal="center"/>
      <protection hidden="1"/>
    </xf>
    <xf numFmtId="0" fontId="4" fillId="0" borderId="0" xfId="0" applyFont="1" applyFill="1" applyBorder="1" applyProtection="1">
      <protection hidden="1"/>
    </xf>
    <xf numFmtId="0" fontId="19" fillId="4" borderId="0" xfId="0" applyFont="1" applyFill="1" applyAlignment="1" applyProtection="1">
      <alignment vertical="center"/>
      <protection hidden="1"/>
    </xf>
    <xf numFmtId="18" fontId="4" fillId="0" borderId="0" xfId="0" applyNumberFormat="1" applyFont="1" applyFill="1" applyBorder="1" applyProtection="1"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0" fontId="3" fillId="0" borderId="24" xfId="0" applyNumberFormat="1" applyFont="1" applyFill="1" applyBorder="1" applyAlignment="1" applyProtection="1">
      <alignment horizontal="center"/>
      <protection hidden="1"/>
    </xf>
    <xf numFmtId="20" fontId="16" fillId="0" borderId="20" xfId="0" applyNumberFormat="1" applyFont="1" applyFill="1" applyBorder="1" applyAlignment="1" applyProtection="1">
      <protection hidden="1"/>
    </xf>
    <xf numFmtId="0" fontId="2" fillId="0" borderId="0" xfId="0" applyFont="1" applyFill="1" applyBorder="1" applyProtection="1">
      <protection hidden="1"/>
    </xf>
    <xf numFmtId="0" fontId="6" fillId="0" borderId="0" xfId="0" applyFont="1" applyFill="1" applyBorder="1" applyProtection="1">
      <protection hidden="1"/>
    </xf>
    <xf numFmtId="0" fontId="11" fillId="3" borderId="25" xfId="0" applyFont="1" applyFill="1" applyBorder="1" applyAlignment="1" applyProtection="1">
      <alignment horizontal="center" vertical="center"/>
      <protection hidden="1"/>
    </xf>
    <xf numFmtId="0" fontId="11" fillId="3" borderId="26" xfId="0" applyFont="1" applyFill="1" applyBorder="1" applyAlignment="1" applyProtection="1">
      <alignment horizontal="center" vertical="center"/>
      <protection hidden="1"/>
    </xf>
    <xf numFmtId="0" fontId="11" fillId="3" borderId="27" xfId="0" applyFont="1" applyFill="1" applyBorder="1" applyAlignment="1" applyProtection="1">
      <alignment horizontal="center" vertical="center"/>
      <protection hidden="1"/>
    </xf>
    <xf numFmtId="0" fontId="3" fillId="0" borderId="6" xfId="0" applyFont="1" applyFill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3" fillId="0" borderId="10" xfId="0" applyFont="1" applyFill="1" applyBorder="1" applyAlignment="1" applyProtection="1">
      <alignment horizontal="center" vertical="center"/>
      <protection hidden="1"/>
    </xf>
    <xf numFmtId="0" fontId="11" fillId="3" borderId="6" xfId="0" applyFont="1" applyFill="1" applyBorder="1" applyAlignment="1" applyProtection="1">
      <alignment horizontal="center" vertical="center"/>
      <protection hidden="1"/>
    </xf>
    <xf numFmtId="0" fontId="11" fillId="3" borderId="1" xfId="0" applyFont="1" applyFill="1" applyBorder="1" applyAlignment="1" applyProtection="1">
      <alignment horizontal="center" vertical="center"/>
      <protection hidden="1"/>
    </xf>
    <xf numFmtId="0" fontId="11" fillId="3" borderId="10" xfId="0" applyFont="1" applyFill="1" applyBorder="1" applyAlignment="1" applyProtection="1">
      <alignment horizontal="center" vertical="center"/>
      <protection hidden="1"/>
    </xf>
    <xf numFmtId="0" fontId="3" fillId="0" borderId="8" xfId="0" applyFont="1" applyFill="1" applyBorder="1" applyAlignment="1" applyProtection="1">
      <alignment horizontal="center" vertical="center"/>
      <protection hidden="1"/>
    </xf>
    <xf numFmtId="0" fontId="3" fillId="0" borderId="4" xfId="0" applyFont="1" applyFill="1" applyBorder="1" applyAlignment="1" applyProtection="1">
      <alignment horizontal="center" vertical="center"/>
      <protection hidden="1"/>
    </xf>
    <xf numFmtId="0" fontId="3" fillId="0" borderId="21" xfId="0" applyFont="1" applyFill="1" applyBorder="1" applyAlignment="1" applyProtection="1">
      <alignment horizontal="center" vertical="center"/>
      <protection hidden="1"/>
    </xf>
    <xf numFmtId="0" fontId="18" fillId="4" borderId="0" xfId="0" applyFont="1" applyFill="1" applyAlignment="1" applyProtection="1">
      <alignment horizontal="center" vertical="center"/>
      <protection hidden="1"/>
    </xf>
    <xf numFmtId="0" fontId="19" fillId="4" borderId="28" xfId="0" applyFont="1" applyFill="1" applyBorder="1" applyAlignment="1" applyProtection="1">
      <alignment horizontal="center" vertical="center"/>
      <protection hidden="1"/>
    </xf>
    <xf numFmtId="0" fontId="19" fillId="4" borderId="12" xfId="0" applyFont="1" applyFill="1" applyBorder="1" applyAlignment="1" applyProtection="1">
      <alignment horizontal="center" vertical="center"/>
      <protection hidden="1"/>
    </xf>
    <xf numFmtId="0" fontId="19" fillId="4" borderId="29" xfId="0" applyFont="1" applyFill="1" applyBorder="1" applyAlignment="1" applyProtection="1">
      <alignment horizontal="left" vertical="center"/>
      <protection hidden="1"/>
    </xf>
    <xf numFmtId="0" fontId="0" fillId="4" borderId="29" xfId="0" applyFill="1" applyBorder="1" applyAlignment="1" applyProtection="1">
      <alignment vertical="center"/>
      <protection hidden="1"/>
    </xf>
    <xf numFmtId="0" fontId="0" fillId="4" borderId="30" xfId="0" applyFill="1" applyBorder="1" applyAlignment="1" applyProtection="1">
      <alignment vertical="center"/>
      <protection hidden="1"/>
    </xf>
    <xf numFmtId="0" fontId="0" fillId="4" borderId="28" xfId="0" applyFill="1" applyBorder="1" applyAlignment="1" applyProtection="1">
      <alignment vertical="center"/>
      <protection hidden="1"/>
    </xf>
    <xf numFmtId="0" fontId="0" fillId="4" borderId="31" xfId="0" applyFill="1" applyBorder="1" applyAlignment="1" applyProtection="1">
      <alignment vertical="center"/>
      <protection hidden="1"/>
    </xf>
    <xf numFmtId="0" fontId="0" fillId="4" borderId="0" xfId="0" applyFill="1" applyBorder="1" applyAlignment="1" applyProtection="1">
      <alignment vertical="center"/>
      <protection hidden="1"/>
    </xf>
    <xf numFmtId="0" fontId="0" fillId="4" borderId="32" xfId="0" applyFill="1" applyBorder="1" applyAlignment="1" applyProtection="1">
      <alignment vertical="center"/>
      <protection hidden="1"/>
    </xf>
    <xf numFmtId="0" fontId="19" fillId="4" borderId="6" xfId="0" applyFont="1" applyFill="1" applyBorder="1" applyAlignment="1" applyProtection="1">
      <alignment horizontal="center" vertical="center"/>
      <protection hidden="1"/>
    </xf>
    <xf numFmtId="0" fontId="19" fillId="4" borderId="33" xfId="0" applyFont="1" applyFill="1" applyBorder="1" applyAlignment="1" applyProtection="1">
      <alignment horizontal="left" vertical="center"/>
      <protection hidden="1"/>
    </xf>
    <xf numFmtId="0" fontId="0" fillId="4" borderId="33" xfId="0" applyFill="1" applyBorder="1" applyAlignment="1" applyProtection="1">
      <alignment vertical="center"/>
      <protection hidden="1"/>
    </xf>
    <xf numFmtId="0" fontId="0" fillId="4" borderId="7" xfId="0" applyFill="1" applyBorder="1" applyAlignment="1" applyProtection="1">
      <alignment vertical="center"/>
      <protection hidden="1"/>
    </xf>
    <xf numFmtId="0" fontId="0" fillId="4" borderId="34" xfId="0" applyFill="1" applyBorder="1" applyAlignment="1" applyProtection="1">
      <alignment vertical="center"/>
      <protection hidden="1"/>
    </xf>
    <xf numFmtId="0" fontId="0" fillId="4" borderId="35" xfId="0" applyFill="1" applyBorder="1" applyAlignment="1" applyProtection="1">
      <alignment vertical="center"/>
      <protection hidden="1"/>
    </xf>
    <xf numFmtId="0" fontId="0" fillId="4" borderId="36" xfId="0" applyFill="1" applyBorder="1" applyAlignment="1" applyProtection="1">
      <alignment vertical="center"/>
      <protection hidden="1"/>
    </xf>
    <xf numFmtId="0" fontId="0" fillId="4" borderId="37" xfId="0" applyFill="1" applyBorder="1" applyAlignment="1" applyProtection="1">
      <alignment vertical="center"/>
      <protection hidden="1"/>
    </xf>
    <xf numFmtId="0" fontId="19" fillId="4" borderId="0" xfId="0" applyFont="1" applyFill="1" applyBorder="1" applyAlignment="1" applyProtection="1">
      <alignment vertical="center"/>
      <protection hidden="1"/>
    </xf>
    <xf numFmtId="0" fontId="19" fillId="4" borderId="0" xfId="0" applyFont="1" applyFill="1" applyBorder="1" applyAlignment="1" applyProtection="1">
      <alignment horizontal="center" vertical="center"/>
      <protection hidden="1"/>
    </xf>
    <xf numFmtId="0" fontId="20" fillId="4" borderId="0" xfId="0" applyFont="1" applyFill="1" applyAlignment="1" applyProtection="1">
      <alignment vertical="center"/>
      <protection hidden="1"/>
    </xf>
    <xf numFmtId="0" fontId="19" fillId="4" borderId="15" xfId="0" applyFont="1" applyFill="1" applyBorder="1" applyAlignment="1" applyProtection="1">
      <alignment horizontal="center" vertical="center"/>
      <protection hidden="1"/>
    </xf>
    <xf numFmtId="0" fontId="19" fillId="4" borderId="18" xfId="0" applyFont="1" applyFill="1" applyBorder="1" applyAlignment="1" applyProtection="1">
      <alignment horizontal="center" vertical="center"/>
      <protection hidden="1"/>
    </xf>
    <xf numFmtId="0" fontId="19" fillId="4" borderId="17" xfId="0" applyFont="1" applyFill="1" applyBorder="1" applyAlignment="1" applyProtection="1">
      <alignment horizontal="center" vertical="center"/>
      <protection hidden="1"/>
    </xf>
    <xf numFmtId="0" fontId="19" fillId="0" borderId="12" xfId="0" applyFont="1" applyFill="1" applyBorder="1" applyAlignment="1" applyProtection="1">
      <alignment horizontal="center" vertical="center"/>
      <protection hidden="1"/>
    </xf>
    <xf numFmtId="184" fontId="19" fillId="0" borderId="13" xfId="0" applyNumberFormat="1" applyFont="1" applyFill="1" applyBorder="1" applyAlignment="1" applyProtection="1">
      <alignment horizontal="center" vertical="center"/>
      <protection hidden="1"/>
    </xf>
    <xf numFmtId="0" fontId="19" fillId="0" borderId="1" xfId="0" applyFont="1" applyFill="1" applyBorder="1" applyAlignment="1" applyProtection="1">
      <alignment horizontal="center" vertical="center"/>
      <protection hidden="1"/>
    </xf>
    <xf numFmtId="0" fontId="19" fillId="0" borderId="13" xfId="0" applyFont="1" applyFill="1" applyBorder="1" applyAlignment="1" applyProtection="1">
      <alignment vertical="center"/>
      <protection hidden="1"/>
    </xf>
    <xf numFmtId="0" fontId="19" fillId="0" borderId="4" xfId="0" applyFont="1" applyFill="1" applyBorder="1" applyAlignment="1" applyProtection="1">
      <alignment horizontal="center" vertical="center"/>
      <protection hidden="1"/>
    </xf>
    <xf numFmtId="0" fontId="19" fillId="0" borderId="11" xfId="0" applyFont="1" applyFill="1" applyBorder="1" applyAlignment="1" applyProtection="1">
      <alignment vertical="center"/>
      <protection hidden="1"/>
    </xf>
    <xf numFmtId="0" fontId="21" fillId="4" borderId="0" xfId="0" applyFont="1" applyFill="1" applyAlignment="1" applyProtection="1">
      <alignment vertical="center"/>
      <protection hidden="1"/>
    </xf>
    <xf numFmtId="0" fontId="22" fillId="4" borderId="0" xfId="0" applyFont="1" applyFill="1" applyAlignment="1" applyProtection="1">
      <alignment horizontal="center"/>
      <protection hidden="1"/>
    </xf>
    <xf numFmtId="0" fontId="22" fillId="4" borderId="0" xfId="0" applyFont="1" applyFill="1" applyAlignment="1" applyProtection="1">
      <alignment horizontal="right"/>
      <protection hidden="1"/>
    </xf>
    <xf numFmtId="20" fontId="19" fillId="4" borderId="0" xfId="0" applyNumberFormat="1" applyFont="1" applyFill="1" applyAlignment="1" applyProtection="1">
      <alignment vertical="center"/>
      <protection hidden="1"/>
    </xf>
    <xf numFmtId="184" fontId="19" fillId="4" borderId="13" xfId="0" applyNumberFormat="1" applyFont="1" applyFill="1" applyBorder="1" applyAlignment="1" applyProtection="1">
      <alignment horizontal="center" vertical="center"/>
      <protection hidden="1"/>
    </xf>
    <xf numFmtId="0" fontId="19" fillId="4" borderId="38" xfId="0" applyFont="1" applyFill="1" applyBorder="1" applyAlignment="1" applyProtection="1">
      <alignment horizontal="center" vertical="center"/>
      <protection hidden="1"/>
    </xf>
    <xf numFmtId="0" fontId="19" fillId="4" borderId="1" xfId="0" applyFont="1" applyFill="1" applyBorder="1" applyAlignment="1" applyProtection="1">
      <alignment horizontal="center" vertical="center"/>
      <protection hidden="1"/>
    </xf>
    <xf numFmtId="0" fontId="19" fillId="4" borderId="13" xfId="0" applyFont="1" applyFill="1" applyBorder="1" applyAlignment="1" applyProtection="1">
      <alignment vertical="center"/>
      <protection hidden="1"/>
    </xf>
    <xf numFmtId="0" fontId="15" fillId="0" borderId="20" xfId="0" applyFont="1" applyFill="1" applyBorder="1" applyAlignment="1" applyProtection="1">
      <alignment horizontal="center" shrinkToFit="1"/>
      <protection locked="0"/>
    </xf>
    <xf numFmtId="180" fontId="12" fillId="0" borderId="20" xfId="0" applyNumberFormat="1" applyFont="1" applyFill="1" applyBorder="1" applyProtection="1">
      <protection locked="0"/>
    </xf>
    <xf numFmtId="183" fontId="14" fillId="0" borderId="20" xfId="0" applyNumberFormat="1" applyFont="1" applyFill="1" applyBorder="1" applyAlignment="1" applyProtection="1">
      <protection locked="0"/>
    </xf>
    <xf numFmtId="180" fontId="4" fillId="0" borderId="20" xfId="0" applyNumberFormat="1" applyFont="1" applyFill="1" applyBorder="1" applyAlignment="1" applyProtection="1">
      <alignment shrinkToFit="1"/>
      <protection locked="0"/>
    </xf>
    <xf numFmtId="0" fontId="7" fillId="5" borderId="0" xfId="0" applyFont="1" applyFill="1" applyBorder="1" applyAlignment="1" applyProtection="1">
      <alignment horizontal="center"/>
      <protection locked="0"/>
    </xf>
    <xf numFmtId="0" fontId="10" fillId="3" borderId="20" xfId="0" applyFont="1" applyFill="1" applyBorder="1" applyAlignment="1" applyProtection="1">
      <alignment horizontal="center" shrinkToFit="1"/>
      <protection hidden="1"/>
    </xf>
    <xf numFmtId="0" fontId="4" fillId="0" borderId="40" xfId="0" applyFont="1" applyFill="1" applyBorder="1" applyAlignment="1" applyProtection="1">
      <alignment vertical="center"/>
      <protection hidden="1"/>
    </xf>
    <xf numFmtId="0" fontId="5" fillId="0" borderId="41" xfId="0" applyFont="1" applyFill="1" applyBorder="1" applyAlignment="1" applyProtection="1">
      <alignment horizontal="center" vertical="center"/>
      <protection hidden="1"/>
    </xf>
    <xf numFmtId="0" fontId="4" fillId="0" borderId="41" xfId="0" applyFont="1" applyFill="1" applyBorder="1" applyAlignment="1" applyProtection="1">
      <alignment vertical="center"/>
      <protection hidden="1"/>
    </xf>
    <xf numFmtId="0" fontId="4" fillId="0" borderId="42" xfId="0" applyFont="1" applyFill="1" applyBorder="1" applyAlignment="1" applyProtection="1">
      <alignment vertical="center"/>
      <protection hidden="1"/>
    </xf>
    <xf numFmtId="0" fontId="4" fillId="0" borderId="43" xfId="0" applyFont="1" applyFill="1" applyBorder="1" applyAlignment="1" applyProtection="1">
      <alignment vertical="center"/>
      <protection hidden="1"/>
    </xf>
    <xf numFmtId="0" fontId="5" fillId="0" borderId="0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4" fillId="0" borderId="0" xfId="0" applyFont="1" applyFill="1" applyBorder="1" applyAlignment="1" applyProtection="1">
      <alignment horizontal="right" vertical="center"/>
      <protection hidden="1"/>
    </xf>
    <xf numFmtId="0" fontId="4" fillId="0" borderId="44" xfId="0" applyFont="1" applyFill="1" applyBorder="1" applyAlignment="1" applyProtection="1">
      <alignment vertical="center"/>
      <protection hidden="1"/>
    </xf>
    <xf numFmtId="0" fontId="4" fillId="0" borderId="45" xfId="0" applyFont="1" applyFill="1" applyBorder="1" applyAlignment="1" applyProtection="1">
      <alignment vertical="center"/>
      <protection hidden="1"/>
    </xf>
    <xf numFmtId="0" fontId="5" fillId="0" borderId="46" xfId="0" applyFont="1" applyFill="1" applyBorder="1" applyAlignment="1" applyProtection="1">
      <alignment horizontal="center" vertical="center"/>
      <protection hidden="1"/>
    </xf>
    <xf numFmtId="0" fontId="4" fillId="0" borderId="46" xfId="0" applyFont="1" applyFill="1" applyBorder="1" applyAlignment="1" applyProtection="1">
      <alignment vertical="center"/>
      <protection hidden="1"/>
    </xf>
    <xf numFmtId="0" fontId="4" fillId="0" borderId="46" xfId="0" applyFont="1" applyFill="1" applyBorder="1" applyAlignment="1" applyProtection="1">
      <alignment horizontal="right" vertical="center"/>
      <protection hidden="1"/>
    </xf>
    <xf numFmtId="0" fontId="4" fillId="0" borderId="47" xfId="0" applyFont="1" applyFill="1" applyBorder="1" applyAlignment="1" applyProtection="1">
      <alignment vertical="center"/>
      <protection hidden="1"/>
    </xf>
    <xf numFmtId="185" fontId="3" fillId="0" borderId="48" xfId="0" applyNumberFormat="1" applyFont="1" applyFill="1" applyBorder="1" applyAlignment="1" applyProtection="1">
      <alignment vertical="center"/>
      <protection hidden="1"/>
    </xf>
    <xf numFmtId="185" fontId="3" fillId="0" borderId="23" xfId="0" applyNumberFormat="1" applyFont="1" applyFill="1" applyBorder="1" applyAlignment="1" applyProtection="1">
      <alignment vertical="center"/>
      <protection hidden="1"/>
    </xf>
    <xf numFmtId="178" fontId="4" fillId="0" borderId="20" xfId="0" applyNumberFormat="1" applyFont="1" applyFill="1" applyBorder="1" applyProtection="1">
      <protection locked="0"/>
    </xf>
    <xf numFmtId="0" fontId="5" fillId="4" borderId="0" xfId="0" applyFont="1" applyFill="1" applyBorder="1" applyProtection="1">
      <protection hidden="1"/>
    </xf>
    <xf numFmtId="186" fontId="3" fillId="0" borderId="49" xfId="0" applyNumberFormat="1" applyFont="1" applyFill="1" applyBorder="1" applyAlignment="1" applyProtection="1">
      <alignment vertical="center"/>
      <protection hidden="1"/>
    </xf>
    <xf numFmtId="0" fontId="19" fillId="2" borderId="12" xfId="0" applyFont="1" applyFill="1" applyBorder="1" applyAlignment="1" applyProtection="1">
      <alignment horizontal="center" vertical="center"/>
      <protection hidden="1"/>
    </xf>
    <xf numFmtId="184" fontId="19" fillId="2" borderId="13" xfId="0" applyNumberFormat="1" applyFont="1" applyFill="1" applyBorder="1" applyAlignment="1" applyProtection="1">
      <alignment horizontal="center" vertical="center"/>
      <protection hidden="1"/>
    </xf>
    <xf numFmtId="0" fontId="28" fillId="0" borderId="0" xfId="1" applyFont="1" applyAlignment="1">
      <alignment horizontal="center" vertical="center"/>
    </xf>
    <xf numFmtId="0" fontId="28" fillId="2" borderId="1" xfId="1" applyFont="1" applyFill="1" applyBorder="1" applyAlignment="1">
      <alignment horizontal="center" vertical="center" textRotation="255" shrinkToFit="1"/>
    </xf>
    <xf numFmtId="0" fontId="28" fillId="0" borderId="0" xfId="1" applyFont="1">
      <alignment vertical="center"/>
    </xf>
    <xf numFmtId="177" fontId="28" fillId="0" borderId="1" xfId="1" applyNumberFormat="1" applyFont="1" applyBorder="1" applyAlignment="1">
      <alignment vertical="center"/>
    </xf>
    <xf numFmtId="0" fontId="28" fillId="0" borderId="1" xfId="1" applyFont="1" applyBorder="1" applyAlignment="1">
      <alignment horizontal="center" vertical="center" wrapText="1"/>
    </xf>
    <xf numFmtId="0" fontId="28" fillId="0" borderId="1" xfId="1" applyFont="1" applyBorder="1">
      <alignment vertical="center"/>
    </xf>
    <xf numFmtId="0" fontId="28" fillId="0" borderId="1" xfId="1" applyFont="1" applyBorder="1" applyAlignment="1">
      <alignment horizontal="center" vertical="center"/>
    </xf>
    <xf numFmtId="0" fontId="28" fillId="0" borderId="1" xfId="1" applyFont="1" applyBorder="1" applyAlignment="1">
      <alignment vertical="center" wrapText="1"/>
    </xf>
    <xf numFmtId="177" fontId="28" fillId="0" borderId="1" xfId="1" applyNumberFormat="1" applyFont="1" applyBorder="1" applyAlignment="1">
      <alignment horizontal="center" vertical="center"/>
    </xf>
    <xf numFmtId="0" fontId="30" fillId="4" borderId="50" xfId="0" applyFont="1" applyFill="1" applyBorder="1" applyAlignment="1" applyProtection="1">
      <alignment horizontal="left" vertical="center"/>
      <protection hidden="1"/>
    </xf>
    <xf numFmtId="0" fontId="30" fillId="4" borderId="9" xfId="0" applyFont="1" applyFill="1" applyBorder="1" applyAlignment="1" applyProtection="1">
      <alignment horizontal="left" vertical="center"/>
      <protection hidden="1"/>
    </xf>
    <xf numFmtId="56" fontId="15" fillId="0" borderId="20" xfId="0" applyNumberFormat="1" applyFont="1" applyFill="1" applyBorder="1" applyAlignment="1" applyProtection="1">
      <alignment horizontal="center" shrinkToFit="1"/>
      <protection locked="0"/>
    </xf>
    <xf numFmtId="0" fontId="0" fillId="0" borderId="20" xfId="0" applyBorder="1"/>
    <xf numFmtId="187" fontId="0" fillId="0" borderId="20" xfId="0" applyNumberFormat="1" applyBorder="1"/>
    <xf numFmtId="0" fontId="12" fillId="0" borderId="0" xfId="0" applyFont="1" applyFill="1" applyBorder="1" applyProtection="1">
      <protection hidden="1"/>
    </xf>
    <xf numFmtId="0" fontId="0" fillId="0" borderId="20" xfId="0" applyBorder="1" applyAlignment="1">
      <alignment wrapText="1"/>
    </xf>
    <xf numFmtId="0" fontId="0" fillId="4" borderId="0" xfId="0" applyFill="1" applyProtection="1"/>
    <xf numFmtId="0" fontId="19" fillId="4" borderId="12" xfId="0" applyFont="1" applyFill="1" applyBorder="1" applyAlignment="1" applyProtection="1">
      <alignment horizontal="center" vertical="center" shrinkToFit="1"/>
      <protection hidden="1"/>
    </xf>
    <xf numFmtId="0" fontId="19" fillId="4" borderId="6" xfId="0" applyFont="1" applyFill="1" applyBorder="1" applyAlignment="1" applyProtection="1">
      <alignment horizontal="center" vertical="center" shrinkToFit="1"/>
      <protection hidden="1"/>
    </xf>
    <xf numFmtId="0" fontId="5" fillId="0" borderId="0" xfId="0" applyFont="1" applyFill="1" applyBorder="1" applyAlignment="1" applyProtection="1">
      <alignment horizontal="center"/>
    </xf>
    <xf numFmtId="180" fontId="13" fillId="0" borderId="51" xfId="0" applyNumberFormat="1" applyFont="1" applyFill="1" applyBorder="1" applyProtection="1">
      <protection locked="0"/>
    </xf>
    <xf numFmtId="180" fontId="13" fillId="0" borderId="52" xfId="0" applyNumberFormat="1" applyFont="1" applyFill="1" applyBorder="1" applyProtection="1">
      <protection locked="0"/>
    </xf>
    <xf numFmtId="0" fontId="4" fillId="0" borderId="41" xfId="0" applyNumberFormat="1" applyFont="1" applyFill="1" applyBorder="1" applyAlignment="1" applyProtection="1">
      <alignment horizontal="right" vertical="center"/>
      <protection hidden="1"/>
    </xf>
    <xf numFmtId="0" fontId="31" fillId="0" borderId="0" xfId="0" applyFont="1" applyFill="1" applyBorder="1" applyAlignment="1" applyProtection="1">
      <alignment horizontal="center"/>
      <protection locked="0" hidden="1"/>
    </xf>
    <xf numFmtId="0" fontId="19" fillId="0" borderId="8" xfId="0" applyFont="1" applyFill="1" applyBorder="1" applyAlignment="1" applyProtection="1">
      <alignment horizontal="center" vertical="center"/>
      <protection hidden="1"/>
    </xf>
    <xf numFmtId="184" fontId="19" fillId="0" borderId="11" xfId="0" applyNumberFormat="1" applyFont="1" applyFill="1" applyBorder="1" applyAlignment="1" applyProtection="1">
      <alignment horizontal="center" vertical="center"/>
      <protection hidden="1"/>
    </xf>
    <xf numFmtId="0" fontId="19" fillId="0" borderId="38" xfId="0" applyFont="1" applyFill="1" applyBorder="1" applyAlignment="1" applyProtection="1">
      <alignment horizontal="center" vertical="center"/>
      <protection hidden="1"/>
    </xf>
    <xf numFmtId="0" fontId="19" fillId="0" borderId="39" xfId="0" applyFont="1" applyFill="1" applyBorder="1" applyAlignment="1" applyProtection="1">
      <alignment horizontal="center" vertical="center"/>
      <protection hidden="1"/>
    </xf>
    <xf numFmtId="0" fontId="3" fillId="2" borderId="26" xfId="0" applyFont="1" applyFill="1" applyBorder="1" applyAlignment="1">
      <alignment vertical="center" textRotation="255" shrinkToFit="1"/>
    </xf>
    <xf numFmtId="0" fontId="3" fillId="2" borderId="1" xfId="0" applyFont="1" applyFill="1" applyBorder="1" applyAlignment="1">
      <alignment vertical="center" textRotation="255" shrinkToFit="1"/>
    </xf>
    <xf numFmtId="0" fontId="3" fillId="2" borderId="4" xfId="0" applyFont="1" applyFill="1" applyBorder="1" applyAlignment="1">
      <alignment vertical="center" textRotation="255" shrinkToFit="1"/>
    </xf>
    <xf numFmtId="0" fontId="3" fillId="2" borderId="53" xfId="0" applyFont="1" applyFill="1" applyBorder="1" applyAlignment="1">
      <alignment vertical="center" textRotation="255" shrinkToFit="1"/>
    </xf>
    <xf numFmtId="0" fontId="3" fillId="2" borderId="54" xfId="0" applyFont="1" applyFill="1" applyBorder="1" applyAlignment="1">
      <alignment vertical="center" textRotation="255" shrinkToFit="1"/>
    </xf>
    <xf numFmtId="0" fontId="3" fillId="2" borderId="55" xfId="0" applyFont="1" applyFill="1" applyBorder="1" applyAlignment="1">
      <alignment vertical="center" textRotation="255" shrinkToFit="1"/>
    </xf>
    <xf numFmtId="0" fontId="4" fillId="2" borderId="56" xfId="0" applyFont="1" applyFill="1" applyBorder="1"/>
    <xf numFmtId="0" fontId="4" fillId="2" borderId="57" xfId="0" applyFont="1" applyFill="1" applyBorder="1"/>
    <xf numFmtId="0" fontId="4" fillId="2" borderId="58" xfId="0" applyFont="1" applyFill="1" applyBorder="1"/>
    <xf numFmtId="0" fontId="3" fillId="2" borderId="30" xfId="0" applyFont="1" applyFill="1" applyBorder="1" applyAlignment="1">
      <alignment vertical="center" textRotation="255" shrinkToFit="1"/>
    </xf>
    <xf numFmtId="0" fontId="3" fillId="2" borderId="7" xfId="0" applyFont="1" applyFill="1" applyBorder="1" applyAlignment="1">
      <alignment vertical="center" textRotation="255" shrinkToFit="1"/>
    </xf>
    <xf numFmtId="0" fontId="3" fillId="2" borderId="3" xfId="0" applyFont="1" applyFill="1" applyBorder="1" applyAlignment="1">
      <alignment vertical="center" textRotation="255" shrinkToFit="1"/>
    </xf>
    <xf numFmtId="0" fontId="28" fillId="2" borderId="59" xfId="1" applyFont="1" applyFill="1" applyBorder="1" applyAlignment="1">
      <alignment horizontal="center" vertical="center"/>
    </xf>
    <xf numFmtId="0" fontId="28" fillId="2" borderId="2" xfId="1" applyFont="1" applyFill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/>
    </xf>
    <xf numFmtId="0" fontId="29" fillId="4" borderId="50" xfId="0" applyFont="1" applyFill="1" applyBorder="1" applyAlignment="1" applyProtection="1">
      <alignment horizontal="left" vertical="center" shrinkToFit="1"/>
      <protection hidden="1"/>
    </xf>
    <xf numFmtId="0" fontId="0" fillId="0" borderId="29" xfId="0" applyBorder="1" applyAlignment="1" applyProtection="1">
      <alignment vertical="center" shrinkToFit="1"/>
    </xf>
    <xf numFmtId="0" fontId="0" fillId="0" borderId="30" xfId="0" applyBorder="1" applyAlignment="1" applyProtection="1">
      <alignment vertical="center" shrinkToFit="1"/>
    </xf>
    <xf numFmtId="0" fontId="29" fillId="4" borderId="9" xfId="0" applyFont="1" applyFill="1" applyBorder="1" applyAlignment="1" applyProtection="1">
      <alignment horizontal="left" vertical="center" shrinkToFit="1"/>
      <protection hidden="1"/>
    </xf>
    <xf numFmtId="0" fontId="0" fillId="0" borderId="33" xfId="0" applyBorder="1" applyAlignment="1" applyProtection="1">
      <alignment vertical="center" shrinkToFit="1"/>
    </xf>
    <xf numFmtId="0" fontId="0" fillId="0" borderId="7" xfId="0" applyBorder="1" applyAlignment="1" applyProtection="1">
      <alignment vertical="center" shrinkToFit="1"/>
    </xf>
    <xf numFmtId="0" fontId="17" fillId="4" borderId="0" xfId="0" applyFont="1" applyFill="1" applyAlignment="1" applyProtection="1">
      <alignment horizontal="center" vertical="center"/>
      <protection hidden="1"/>
    </xf>
    <xf numFmtId="0" fontId="19" fillId="4" borderId="60" xfId="0" applyFont="1" applyFill="1" applyBorder="1" applyAlignment="1" applyProtection="1">
      <alignment horizontal="center" vertical="center"/>
      <protection hidden="1"/>
    </xf>
    <xf numFmtId="0" fontId="19" fillId="4" borderId="61" xfId="0" applyFont="1" applyFill="1" applyBorder="1" applyAlignment="1" applyProtection="1">
      <alignment horizontal="center" vertical="center"/>
      <protection hidden="1"/>
    </xf>
    <xf numFmtId="0" fontId="19" fillId="4" borderId="62" xfId="0" applyFont="1" applyFill="1" applyBorder="1" applyAlignment="1" applyProtection="1">
      <alignment horizontal="center" vertical="center"/>
      <protection hidden="1"/>
    </xf>
    <xf numFmtId="0" fontId="19" fillId="4" borderId="63" xfId="0" applyFont="1" applyFill="1" applyBorder="1" applyAlignment="1" applyProtection="1">
      <alignment horizontal="center" vertical="center"/>
      <protection hidden="1"/>
    </xf>
    <xf numFmtId="0" fontId="19" fillId="4" borderId="64" xfId="0" applyFont="1" applyFill="1" applyBorder="1" applyAlignment="1" applyProtection="1">
      <alignment horizontal="center" vertical="center"/>
      <protection hidden="1"/>
    </xf>
    <xf numFmtId="0" fontId="19" fillId="4" borderId="34" xfId="0" applyFont="1" applyFill="1" applyBorder="1" applyAlignment="1" applyProtection="1">
      <alignment horizontal="center" vertical="center"/>
      <protection hidden="1"/>
    </xf>
    <xf numFmtId="0" fontId="19" fillId="4" borderId="35" xfId="0" applyFont="1" applyFill="1" applyBorder="1" applyAlignment="1" applyProtection="1">
      <alignment horizontal="center" vertical="center"/>
      <protection hidden="1"/>
    </xf>
    <xf numFmtId="0" fontId="19" fillId="4" borderId="36" xfId="0" applyFont="1" applyFill="1" applyBorder="1" applyAlignment="1" applyProtection="1">
      <alignment horizontal="center" vertical="center"/>
      <protection hidden="1"/>
    </xf>
    <xf numFmtId="0" fontId="19" fillId="0" borderId="62" xfId="0" applyFont="1" applyFill="1" applyBorder="1" applyAlignment="1" applyProtection="1">
      <alignment horizontal="center" vertical="center"/>
      <protection hidden="1"/>
    </xf>
    <xf numFmtId="0" fontId="19" fillId="0" borderId="63" xfId="0" applyFont="1" applyFill="1" applyBorder="1" applyAlignment="1" applyProtection="1">
      <alignment horizontal="center" vertical="center"/>
      <protection hidden="1"/>
    </xf>
    <xf numFmtId="0" fontId="19" fillId="0" borderId="64" xfId="0" applyFont="1" applyFill="1" applyBorder="1" applyAlignment="1" applyProtection="1">
      <alignment horizontal="center" vertical="center"/>
      <protection hidden="1"/>
    </xf>
    <xf numFmtId="0" fontId="19" fillId="0" borderId="34" xfId="0" applyFont="1" applyFill="1" applyBorder="1" applyAlignment="1" applyProtection="1">
      <alignment horizontal="center" vertical="center"/>
      <protection hidden="1"/>
    </xf>
    <xf numFmtId="0" fontId="19" fillId="0" borderId="35" xfId="0" applyFont="1" applyFill="1" applyBorder="1" applyAlignment="1" applyProtection="1">
      <alignment horizontal="center" vertical="center"/>
      <protection hidden="1"/>
    </xf>
    <xf numFmtId="0" fontId="19" fillId="0" borderId="36" xfId="0" applyFont="1" applyFill="1" applyBorder="1" applyAlignment="1" applyProtection="1">
      <alignment horizontal="center" vertical="center"/>
      <protection hidden="1"/>
    </xf>
    <xf numFmtId="0" fontId="19" fillId="5" borderId="50" xfId="0" applyFont="1" applyFill="1" applyBorder="1" applyAlignment="1" applyProtection="1">
      <alignment horizontal="center" vertical="center"/>
      <protection hidden="1"/>
    </xf>
    <xf numFmtId="0" fontId="19" fillId="5" borderId="29" xfId="0" applyFont="1" applyFill="1" applyBorder="1" applyAlignment="1" applyProtection="1">
      <alignment horizontal="center" vertical="center"/>
      <protection hidden="1"/>
    </xf>
    <xf numFmtId="0" fontId="19" fillId="5" borderId="65" xfId="0" applyFont="1" applyFill="1" applyBorder="1" applyAlignment="1" applyProtection="1">
      <alignment horizontal="center" vertical="center"/>
      <protection hidden="1"/>
    </xf>
    <xf numFmtId="0" fontId="19" fillId="4" borderId="66" xfId="0" applyFont="1" applyFill="1" applyBorder="1" applyAlignment="1" applyProtection="1">
      <alignment horizontal="center" vertical="center"/>
      <protection hidden="1"/>
    </xf>
    <xf numFmtId="0" fontId="19" fillId="4" borderId="37" xfId="0" applyFont="1" applyFill="1" applyBorder="1" applyAlignment="1" applyProtection="1">
      <alignment horizontal="center" vertical="center"/>
      <protection hidden="1"/>
    </xf>
    <xf numFmtId="0" fontId="19" fillId="5" borderId="11" xfId="0" applyFont="1" applyFill="1" applyBorder="1" applyAlignment="1" applyProtection="1">
      <alignment horizontal="center" vertical="center"/>
      <protection hidden="1"/>
    </xf>
    <xf numFmtId="0" fontId="19" fillId="5" borderId="39" xfId="0" applyFont="1" applyFill="1" applyBorder="1" applyAlignment="1" applyProtection="1">
      <alignment horizontal="center" vertical="center"/>
      <protection hidden="1"/>
    </xf>
    <xf numFmtId="0" fontId="19" fillId="5" borderId="3" xfId="0" applyFont="1" applyFill="1" applyBorder="1" applyAlignment="1" applyProtection="1">
      <alignment horizontal="center" vertical="center"/>
      <protection hidden="1"/>
    </xf>
    <xf numFmtId="0" fontId="19" fillId="5" borderId="67" xfId="0" applyFont="1" applyFill="1" applyBorder="1" applyAlignment="1" applyProtection="1">
      <alignment horizontal="center" vertical="center"/>
      <protection hidden="1"/>
    </xf>
    <xf numFmtId="0" fontId="27" fillId="0" borderId="50" xfId="0" applyFont="1" applyFill="1" applyBorder="1" applyAlignment="1" applyProtection="1">
      <alignment horizontal="center" vertical="center" shrinkToFit="1"/>
      <protection hidden="1"/>
    </xf>
    <xf numFmtId="0" fontId="27" fillId="0" borderId="29" xfId="0" applyFont="1" applyFill="1" applyBorder="1" applyAlignment="1" applyProtection="1">
      <alignment horizontal="center" vertical="center" shrinkToFit="1"/>
      <protection hidden="1"/>
    </xf>
    <xf numFmtId="0" fontId="27" fillId="0" borderId="30" xfId="0" applyFont="1" applyFill="1" applyBorder="1" applyAlignment="1" applyProtection="1">
      <alignment horizontal="center" vertical="center" shrinkToFit="1"/>
      <protection hidden="1"/>
    </xf>
    <xf numFmtId="0" fontId="19" fillId="5" borderId="30" xfId="0" applyFont="1" applyFill="1" applyBorder="1" applyAlignment="1" applyProtection="1">
      <alignment horizontal="center" vertical="center"/>
      <protection hidden="1"/>
    </xf>
    <xf numFmtId="0" fontId="19" fillId="5" borderId="26" xfId="0" applyFont="1" applyFill="1" applyBorder="1" applyAlignment="1" applyProtection="1">
      <alignment horizontal="center" vertical="center"/>
      <protection hidden="1"/>
    </xf>
    <xf numFmtId="0" fontId="19" fillId="5" borderId="27" xfId="0" applyFont="1" applyFill="1" applyBorder="1" applyAlignment="1" applyProtection="1">
      <alignment horizontal="center" vertical="center"/>
      <protection hidden="1"/>
    </xf>
    <xf numFmtId="0" fontId="27" fillId="0" borderId="9" xfId="0" applyFont="1" applyFill="1" applyBorder="1" applyAlignment="1" applyProtection="1">
      <alignment horizontal="center" vertical="center" shrinkToFit="1"/>
      <protection hidden="1"/>
    </xf>
    <xf numFmtId="0" fontId="27" fillId="0" borderId="33" xfId="0" applyFont="1" applyFill="1" applyBorder="1" applyAlignment="1" applyProtection="1">
      <alignment horizontal="center" vertical="center" shrinkToFit="1"/>
      <protection hidden="1"/>
    </xf>
    <xf numFmtId="0" fontId="27" fillId="0" borderId="7" xfId="0" applyFont="1" applyFill="1" applyBorder="1" applyAlignment="1" applyProtection="1">
      <alignment horizontal="center" vertical="center" shrinkToFit="1"/>
      <protection hidden="1"/>
    </xf>
    <xf numFmtId="0" fontId="19" fillId="5" borderId="1" xfId="0" applyFont="1" applyFill="1" applyBorder="1" applyAlignment="1" applyProtection="1">
      <alignment horizontal="center" vertical="center"/>
      <protection hidden="1"/>
    </xf>
    <xf numFmtId="0" fontId="19" fillId="5" borderId="10" xfId="0" applyFont="1" applyFill="1" applyBorder="1" applyAlignment="1" applyProtection="1">
      <alignment horizontal="center" vertical="center"/>
      <protection hidden="1"/>
    </xf>
    <xf numFmtId="0" fontId="19" fillId="4" borderId="18" xfId="0" applyFont="1" applyFill="1" applyBorder="1" applyAlignment="1" applyProtection="1">
      <alignment horizontal="center" vertical="center"/>
      <protection hidden="1"/>
    </xf>
    <xf numFmtId="0" fontId="19" fillId="4" borderId="24" xfId="0" applyFont="1" applyFill="1" applyBorder="1" applyAlignment="1" applyProtection="1">
      <alignment horizontal="center" vertical="center"/>
      <protection hidden="1"/>
    </xf>
    <xf numFmtId="0" fontId="19" fillId="4" borderId="16" xfId="0" applyFont="1" applyFill="1" applyBorder="1" applyAlignment="1" applyProtection="1">
      <alignment horizontal="center" vertical="center"/>
      <protection hidden="1"/>
    </xf>
    <xf numFmtId="0" fontId="19" fillId="4" borderId="68" xfId="0" applyFont="1" applyFill="1" applyBorder="1" applyAlignment="1" applyProtection="1">
      <alignment horizontal="center" vertical="center"/>
      <protection hidden="1"/>
    </xf>
    <xf numFmtId="0" fontId="19" fillId="4" borderId="39" xfId="0" applyFont="1" applyFill="1" applyBorder="1" applyAlignment="1" applyProtection="1">
      <alignment horizontal="center" vertical="center"/>
      <protection hidden="1"/>
    </xf>
    <xf numFmtId="0" fontId="19" fillId="4" borderId="3" xfId="0" applyFont="1" applyFill="1" applyBorder="1" applyAlignment="1" applyProtection="1">
      <alignment horizontal="center" vertical="center"/>
      <protection hidden="1"/>
    </xf>
    <xf numFmtId="0" fontId="19" fillId="5" borderId="69" xfId="0" applyFont="1" applyFill="1" applyBorder="1" applyAlignment="1" applyProtection="1">
      <alignment horizontal="center" vertical="center"/>
      <protection hidden="1"/>
    </xf>
    <xf numFmtId="0" fontId="19" fillId="5" borderId="55" xfId="0" applyFont="1" applyFill="1" applyBorder="1" applyAlignment="1" applyProtection="1">
      <alignment horizontal="center" vertical="center"/>
      <protection hidden="1"/>
    </xf>
    <xf numFmtId="0" fontId="19" fillId="4" borderId="52" xfId="0" applyFont="1" applyFill="1" applyBorder="1" applyAlignment="1" applyProtection="1">
      <alignment horizontal="center" vertical="center"/>
      <protection hidden="1"/>
    </xf>
    <xf numFmtId="0" fontId="19" fillId="0" borderId="13" xfId="0" applyFont="1" applyFill="1" applyBorder="1" applyAlignment="1" applyProtection="1">
      <alignment horizontal="center" vertical="center" shrinkToFit="1"/>
      <protection hidden="1"/>
    </xf>
    <xf numFmtId="0" fontId="19" fillId="0" borderId="5" xfId="0" applyFont="1" applyFill="1" applyBorder="1" applyAlignment="1" applyProtection="1">
      <alignment horizontal="center" vertical="center" shrinkToFit="1"/>
      <protection hidden="1"/>
    </xf>
    <xf numFmtId="20" fontId="19" fillId="0" borderId="38" xfId="0" applyNumberFormat="1" applyFont="1" applyFill="1" applyBorder="1" applyAlignment="1" applyProtection="1">
      <alignment horizontal="center" vertical="center"/>
      <protection hidden="1"/>
    </xf>
    <xf numFmtId="20" fontId="19" fillId="0" borderId="5" xfId="0" applyNumberFormat="1" applyFont="1" applyFill="1" applyBorder="1" applyAlignment="1" applyProtection="1">
      <alignment horizontal="center" vertical="center"/>
      <protection hidden="1"/>
    </xf>
    <xf numFmtId="20" fontId="19" fillId="0" borderId="13" xfId="0" applyNumberFormat="1" applyFont="1" applyFill="1" applyBorder="1" applyAlignment="1" applyProtection="1">
      <alignment horizontal="center" vertical="center"/>
      <protection hidden="1"/>
    </xf>
    <xf numFmtId="0" fontId="19" fillId="0" borderId="38" xfId="0" applyFont="1" applyFill="1" applyBorder="1" applyAlignment="1" applyProtection="1">
      <alignment horizontal="center" vertical="center"/>
      <protection hidden="1"/>
    </xf>
    <xf numFmtId="0" fontId="19" fillId="0" borderId="5" xfId="0" applyFont="1" applyFill="1" applyBorder="1" applyAlignment="1" applyProtection="1">
      <alignment horizontal="center" vertical="center"/>
      <protection hidden="1"/>
    </xf>
    <xf numFmtId="0" fontId="19" fillId="0" borderId="9" xfId="0" applyFont="1" applyFill="1" applyBorder="1" applyAlignment="1" applyProtection="1">
      <alignment horizontal="center" vertical="center"/>
      <protection hidden="1"/>
    </xf>
    <xf numFmtId="0" fontId="19" fillId="0" borderId="33" xfId="0" applyFont="1" applyFill="1" applyBorder="1" applyAlignment="1" applyProtection="1">
      <alignment horizontal="center" vertical="center"/>
      <protection hidden="1"/>
    </xf>
    <xf numFmtId="0" fontId="19" fillId="0" borderId="7" xfId="0" applyFont="1" applyFill="1" applyBorder="1" applyAlignment="1" applyProtection="1">
      <alignment horizontal="center" vertical="center"/>
      <protection hidden="1"/>
    </xf>
    <xf numFmtId="0" fontId="19" fillId="0" borderId="13" xfId="0" applyFont="1" applyFill="1" applyBorder="1" applyAlignment="1" applyProtection="1">
      <alignment horizontal="center" vertical="center"/>
      <protection hidden="1"/>
    </xf>
    <xf numFmtId="0" fontId="0" fillId="0" borderId="13" xfId="0" applyFill="1" applyBorder="1" applyAlignment="1" applyProtection="1">
      <alignment horizontal="center" vertical="center"/>
      <protection hidden="1"/>
    </xf>
    <xf numFmtId="0" fontId="0" fillId="0" borderId="70" xfId="0" applyFill="1" applyBorder="1" applyAlignment="1" applyProtection="1">
      <alignment horizontal="center" vertical="center"/>
      <protection hidden="1"/>
    </xf>
    <xf numFmtId="0" fontId="0" fillId="4" borderId="13" xfId="0" applyFill="1" applyBorder="1" applyAlignment="1" applyProtection="1">
      <alignment horizontal="center" vertical="center"/>
      <protection hidden="1"/>
    </xf>
    <xf numFmtId="0" fontId="0" fillId="4" borderId="70" xfId="0" applyFill="1" applyBorder="1" applyAlignment="1" applyProtection="1">
      <alignment horizontal="center" vertical="center"/>
      <protection hidden="1"/>
    </xf>
    <xf numFmtId="0" fontId="19" fillId="0" borderId="11" xfId="0" applyFont="1" applyFill="1" applyBorder="1" applyAlignment="1" applyProtection="1">
      <alignment horizontal="center" vertical="center" shrinkToFit="1"/>
      <protection hidden="1"/>
    </xf>
    <xf numFmtId="0" fontId="19" fillId="0" borderId="3" xfId="0" applyFont="1" applyFill="1" applyBorder="1" applyAlignment="1" applyProtection="1">
      <alignment horizontal="center" vertical="center" shrinkToFit="1"/>
      <protection hidden="1"/>
    </xf>
    <xf numFmtId="20" fontId="19" fillId="0" borderId="39" xfId="0" applyNumberFormat="1" applyFont="1" applyFill="1" applyBorder="1" applyAlignment="1" applyProtection="1">
      <alignment horizontal="center" vertical="center"/>
      <protection hidden="1"/>
    </xf>
    <xf numFmtId="20" fontId="19" fillId="0" borderId="3" xfId="0" applyNumberFormat="1" applyFont="1" applyFill="1" applyBorder="1" applyAlignment="1" applyProtection="1">
      <alignment horizontal="center" vertical="center"/>
      <protection hidden="1"/>
    </xf>
    <xf numFmtId="20" fontId="19" fillId="0" borderId="11" xfId="0" applyNumberFormat="1" applyFont="1" applyFill="1" applyBorder="1" applyAlignment="1" applyProtection="1">
      <alignment horizontal="center" vertical="center"/>
      <protection hidden="1"/>
    </xf>
    <xf numFmtId="0" fontId="19" fillId="0" borderId="39" xfId="0" applyFont="1" applyFill="1" applyBorder="1" applyAlignment="1" applyProtection="1">
      <alignment horizontal="center" vertical="center"/>
      <protection hidden="1"/>
    </xf>
    <xf numFmtId="0" fontId="19" fillId="0" borderId="3" xfId="0" applyFont="1" applyFill="1" applyBorder="1" applyAlignment="1" applyProtection="1">
      <alignment horizontal="center" vertical="center"/>
      <protection hidden="1"/>
    </xf>
    <xf numFmtId="0" fontId="19" fillId="0" borderId="11" xfId="0" applyFont="1" applyFill="1" applyBorder="1" applyAlignment="1" applyProtection="1">
      <alignment horizontal="center" vertical="center"/>
      <protection hidden="1"/>
    </xf>
    <xf numFmtId="0" fontId="0" fillId="0" borderId="11" xfId="0" applyFill="1" applyBorder="1" applyAlignment="1" applyProtection="1">
      <alignment horizontal="center" vertical="center"/>
      <protection hidden="1"/>
    </xf>
    <xf numFmtId="0" fontId="0" fillId="0" borderId="67" xfId="0" applyFill="1" applyBorder="1" applyAlignment="1" applyProtection="1">
      <alignment horizontal="center" vertical="center"/>
      <protection hidden="1"/>
    </xf>
    <xf numFmtId="0" fontId="0" fillId="0" borderId="50" xfId="0" applyFill="1" applyBorder="1" applyAlignment="1" applyProtection="1">
      <alignment horizontal="center" vertical="center"/>
      <protection hidden="1"/>
    </xf>
    <xf numFmtId="0" fontId="0" fillId="0" borderId="29" xfId="0" applyFill="1" applyBorder="1" applyAlignment="1" applyProtection="1">
      <alignment horizontal="center" vertical="center"/>
      <protection hidden="1"/>
    </xf>
    <xf numFmtId="0" fontId="0" fillId="0" borderId="30" xfId="0" applyFill="1" applyBorder="1" applyAlignment="1" applyProtection="1">
      <alignment horizontal="center" vertical="center"/>
      <protection hidden="1"/>
    </xf>
    <xf numFmtId="0" fontId="19" fillId="4" borderId="13" xfId="0" applyFont="1" applyFill="1" applyBorder="1" applyAlignment="1" applyProtection="1">
      <alignment horizontal="center" vertical="center"/>
      <protection hidden="1"/>
    </xf>
    <xf numFmtId="0" fontId="19" fillId="4" borderId="38" xfId="0" applyFont="1" applyFill="1" applyBorder="1" applyAlignment="1" applyProtection="1">
      <alignment horizontal="center" vertical="center"/>
      <protection hidden="1"/>
    </xf>
    <xf numFmtId="0" fontId="19" fillId="4" borderId="5" xfId="0" applyFont="1" applyFill="1" applyBorder="1" applyAlignment="1" applyProtection="1">
      <alignment horizontal="center" vertical="center"/>
      <protection hidden="1"/>
    </xf>
    <xf numFmtId="0" fontId="19" fillId="4" borderId="9" xfId="0" applyFont="1" applyFill="1" applyBorder="1" applyAlignment="1" applyProtection="1">
      <alignment horizontal="center" vertical="center"/>
      <protection hidden="1"/>
    </xf>
    <xf numFmtId="0" fontId="19" fillId="4" borderId="33" xfId="0" applyFont="1" applyFill="1" applyBorder="1" applyAlignment="1" applyProtection="1">
      <alignment horizontal="center" vertical="center"/>
      <protection hidden="1"/>
    </xf>
    <xf numFmtId="0" fontId="19" fillId="4" borderId="7" xfId="0" applyFont="1" applyFill="1" applyBorder="1" applyAlignment="1" applyProtection="1">
      <alignment horizontal="center" vertical="center"/>
      <protection hidden="1"/>
    </xf>
    <xf numFmtId="0" fontId="0" fillId="0" borderId="9" xfId="0" applyFill="1" applyBorder="1" applyAlignment="1" applyProtection="1">
      <alignment horizontal="center" vertical="center"/>
      <protection hidden="1"/>
    </xf>
    <xf numFmtId="0" fontId="0" fillId="0" borderId="33" xfId="0" applyFill="1" applyBorder="1" applyAlignment="1" applyProtection="1">
      <alignment horizontal="center" vertical="center"/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19" fillId="4" borderId="13" xfId="0" applyFont="1" applyFill="1" applyBorder="1" applyAlignment="1" applyProtection="1">
      <alignment horizontal="center" vertical="center" shrinkToFit="1"/>
      <protection hidden="1"/>
    </xf>
    <xf numFmtId="0" fontId="19" fillId="4" borderId="5" xfId="0" applyFont="1" applyFill="1" applyBorder="1" applyAlignment="1" applyProtection="1">
      <alignment horizontal="center" vertical="center" shrinkToFit="1"/>
      <protection hidden="1"/>
    </xf>
    <xf numFmtId="20" fontId="19" fillId="4" borderId="38" xfId="0" applyNumberFormat="1" applyFont="1" applyFill="1" applyBorder="1" applyAlignment="1" applyProtection="1">
      <alignment horizontal="center" vertical="center"/>
      <protection hidden="1"/>
    </xf>
    <xf numFmtId="20" fontId="19" fillId="4" borderId="5" xfId="0" applyNumberFormat="1" applyFont="1" applyFill="1" applyBorder="1" applyAlignment="1" applyProtection="1">
      <alignment horizontal="center" vertical="center"/>
      <protection hidden="1"/>
    </xf>
    <xf numFmtId="0" fontId="5" fillId="0" borderId="20" xfId="0" applyFont="1" applyFill="1" applyBorder="1" applyAlignment="1" applyProtection="1">
      <alignment shrinkToFit="1"/>
      <protection locked="0"/>
    </xf>
    <xf numFmtId="0" fontId="5" fillId="0" borderId="51" xfId="0" applyFont="1" applyFill="1" applyBorder="1" applyAlignment="1" applyProtection="1">
      <protection locked="0"/>
    </xf>
    <xf numFmtId="0" fontId="5" fillId="0" borderId="52" xfId="0" applyFont="1" applyFill="1" applyBorder="1" applyAlignment="1" applyProtection="1">
      <protection locked="0"/>
    </xf>
    <xf numFmtId="0" fontId="10" fillId="3" borderId="20" xfId="0" applyFont="1" applyFill="1" applyBorder="1" applyAlignment="1" applyProtection="1">
      <alignment horizontal="center"/>
      <protection hidden="1"/>
    </xf>
    <xf numFmtId="0" fontId="24" fillId="5" borderId="23" xfId="0" applyFont="1" applyFill="1" applyBorder="1" applyAlignment="1" applyProtection="1">
      <alignment vertical="center"/>
      <protection hidden="1"/>
    </xf>
    <xf numFmtId="0" fontId="24" fillId="5" borderId="49" xfId="0" applyFont="1" applyFill="1" applyBorder="1" applyAlignment="1" applyProtection="1">
      <alignment vertical="center"/>
      <protection hidden="1"/>
    </xf>
    <xf numFmtId="0" fontId="24" fillId="5" borderId="48" xfId="0" applyFont="1" applyFill="1" applyBorder="1" applyAlignment="1" applyProtection="1">
      <alignment vertical="center"/>
      <protection hidden="1"/>
    </xf>
    <xf numFmtId="0" fontId="24" fillId="5" borderId="71" xfId="0" applyFont="1" applyFill="1" applyBorder="1" applyAlignment="1" applyProtection="1">
      <alignment vertical="center"/>
      <protection hidden="1"/>
    </xf>
    <xf numFmtId="0" fontId="24" fillId="5" borderId="72" xfId="0" applyFont="1" applyFill="1" applyBorder="1" applyAlignment="1" applyProtection="1">
      <alignment vertical="center"/>
      <protection hidden="1"/>
    </xf>
    <xf numFmtId="49" fontId="23" fillId="5" borderId="0" xfId="0" applyNumberFormat="1" applyFont="1" applyFill="1" applyBorder="1" applyAlignment="1" applyProtection="1">
      <alignment horizontal="center"/>
      <protection locked="0"/>
    </xf>
    <xf numFmtId="0" fontId="10" fillId="3" borderId="51" xfId="0" applyFont="1" applyFill="1" applyBorder="1" applyAlignment="1" applyProtection="1">
      <alignment horizontal="center"/>
      <protection hidden="1"/>
    </xf>
    <xf numFmtId="0" fontId="10" fillId="3" borderId="52" xfId="0" applyFont="1" applyFill="1" applyBorder="1" applyAlignment="1" applyProtection="1">
      <alignment horizontal="center"/>
      <protection hidden="1"/>
    </xf>
    <xf numFmtId="177" fontId="5" fillId="0" borderId="51" xfId="0" applyNumberFormat="1" applyFont="1" applyFill="1" applyBorder="1" applyAlignment="1" applyProtection="1">
      <alignment horizontal="right"/>
    </xf>
    <xf numFmtId="177" fontId="5" fillId="0" borderId="52" xfId="0" applyNumberFormat="1" applyFont="1" applyFill="1" applyBorder="1" applyAlignment="1" applyProtection="1">
      <alignment horizontal="right"/>
    </xf>
    <xf numFmtId="0" fontId="7" fillId="5" borderId="0" xfId="0" applyFont="1" applyFill="1" applyBorder="1" applyAlignment="1" applyProtection="1">
      <alignment horizontal="center"/>
      <protection locked="0"/>
    </xf>
    <xf numFmtId="0" fontId="23" fillId="5" borderId="0" xfId="0" applyFont="1" applyFill="1" applyBorder="1" applyAlignment="1" applyProtection="1">
      <alignment horizontal="center"/>
      <protection locked="0"/>
    </xf>
  </cellXfs>
  <cellStyles count="2">
    <cellStyle name="標準" xfId="0" builtinId="0"/>
    <cellStyle name="標準_Book1" xfId="1"/>
  </cellStyles>
  <dxfs count="7"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4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114300</xdr:colOff>
          <xdr:row>42</xdr:row>
          <xdr:rowOff>0</xdr:rowOff>
        </xdr:from>
        <xdr:to>
          <xdr:col>15</xdr:col>
          <xdr:colOff>1238250</xdr:colOff>
          <xdr:row>44</xdr:row>
          <xdr:rowOff>104775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3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95250</xdr:colOff>
          <xdr:row>0</xdr:row>
          <xdr:rowOff>28575</xdr:rowOff>
        </xdr:from>
        <xdr:to>
          <xdr:col>45</xdr:col>
          <xdr:colOff>971550</xdr:colOff>
          <xdr:row>2</xdr:row>
          <xdr:rowOff>38100</xdr:rowOff>
        </xdr:to>
        <xdr:sp macro="" textlink="">
          <xdr:nvSpPr>
            <xdr:cNvPr id="99330" name="CheckBox1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3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95250</xdr:colOff>
          <xdr:row>3</xdr:row>
          <xdr:rowOff>0</xdr:rowOff>
        </xdr:from>
        <xdr:to>
          <xdr:col>45</xdr:col>
          <xdr:colOff>971550</xdr:colOff>
          <xdr:row>4</xdr:row>
          <xdr:rowOff>104775</xdr:rowOff>
        </xdr:to>
        <xdr:sp macro="" textlink="">
          <xdr:nvSpPr>
            <xdr:cNvPr id="99331" name="CheckBox2" hidden="1">
              <a:extLst>
                <a:ext uri="{63B3BB69-23CF-44E3-9099-C40C66FF867C}">
                  <a14:compatExt spid="_x0000_s99331"/>
                </a:ext>
                <a:ext uri="{FF2B5EF4-FFF2-40B4-BE49-F238E27FC236}">
                  <a16:creationId xmlns:a16="http://schemas.microsoft.com/office/drawing/2014/main" id="{00000000-0008-0000-0300-000003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95250</xdr:colOff>
          <xdr:row>1</xdr:row>
          <xdr:rowOff>133350</xdr:rowOff>
        </xdr:from>
        <xdr:to>
          <xdr:col>45</xdr:col>
          <xdr:colOff>971550</xdr:colOff>
          <xdr:row>3</xdr:row>
          <xdr:rowOff>66675</xdr:rowOff>
        </xdr:to>
        <xdr:sp macro="" textlink="">
          <xdr:nvSpPr>
            <xdr:cNvPr id="99332" name="CheckBox3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3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AO17"/>
  <sheetViews>
    <sheetView topLeftCell="F1" workbookViewId="0">
      <selection activeCell="W14" sqref="W14"/>
    </sheetView>
  </sheetViews>
  <sheetFormatPr defaultColWidth="9" defaultRowHeight="12"/>
  <cols>
    <col min="1" max="1" width="0" style="2" hidden="1" customWidth="1"/>
    <col min="2" max="2" width="13.625" style="2" hidden="1" customWidth="1"/>
    <col min="3" max="3" width="12.5" style="2" hidden="1" customWidth="1"/>
    <col min="4" max="4" width="15.625" style="2" hidden="1" customWidth="1"/>
    <col min="5" max="5" width="0" style="2" hidden="1" customWidth="1"/>
    <col min="6" max="6" width="4.875" style="2" customWidth="1"/>
    <col min="7" max="8" width="5.875" style="2" customWidth="1"/>
    <col min="9" max="9" width="5.875" style="2" bestFit="1" customWidth="1"/>
    <col min="10" max="10" width="5.875" style="2" customWidth="1"/>
    <col min="11" max="11" width="5.25" style="2" bestFit="1" customWidth="1"/>
    <col min="12" max="12" width="5.25" style="2" customWidth="1"/>
    <col min="13" max="13" width="5.25" style="2" bestFit="1" customWidth="1"/>
    <col min="14" max="14" width="5.25" style="2" customWidth="1"/>
    <col min="15" max="15" width="3.875" style="2" customWidth="1"/>
    <col min="16" max="16" width="7.25" style="2" customWidth="1"/>
    <col min="17" max="41" width="2.625" style="2" customWidth="1"/>
    <col min="42" max="16384" width="9" style="2"/>
  </cols>
  <sheetData>
    <row r="2" spans="2:41">
      <c r="B2" s="2" t="s">
        <v>27</v>
      </c>
    </row>
    <row r="3" spans="2:41">
      <c r="B3" s="5" t="s">
        <v>28</v>
      </c>
      <c r="C3" s="6" t="s">
        <v>30</v>
      </c>
      <c r="G3" s="3" t="s">
        <v>26</v>
      </c>
      <c r="H3" s="3"/>
      <c r="I3" s="4"/>
      <c r="J3" s="4"/>
      <c r="K3" s="4"/>
      <c r="L3" s="4"/>
      <c r="M3" s="4"/>
      <c r="N3" s="4"/>
      <c r="P3" s="3" t="s">
        <v>40</v>
      </c>
    </row>
    <row r="4" spans="2:41" ht="12" customHeight="1">
      <c r="B4" s="5" t="s">
        <v>29</v>
      </c>
      <c r="C4" s="6" t="s">
        <v>31</v>
      </c>
      <c r="G4" s="33" t="s">
        <v>58</v>
      </c>
      <c r="H4" s="34" t="s">
        <v>59</v>
      </c>
      <c r="I4" s="35" t="s">
        <v>60</v>
      </c>
      <c r="J4" s="35" t="s">
        <v>61</v>
      </c>
      <c r="K4" s="35" t="s">
        <v>25</v>
      </c>
      <c r="L4" s="36"/>
      <c r="M4" s="35" t="s">
        <v>10</v>
      </c>
      <c r="N4" s="37"/>
      <c r="P4" s="170"/>
      <c r="Q4" s="173" t="s">
        <v>13</v>
      </c>
      <c r="R4" s="164" t="s">
        <v>14</v>
      </c>
      <c r="S4" s="164" t="s">
        <v>12</v>
      </c>
      <c r="T4" s="164" t="s">
        <v>11</v>
      </c>
      <c r="U4" s="164" t="s">
        <v>15</v>
      </c>
      <c r="V4" s="164" t="s">
        <v>114</v>
      </c>
      <c r="W4" s="164" t="s">
        <v>16</v>
      </c>
      <c r="X4" s="164" t="s">
        <v>17</v>
      </c>
      <c r="Y4" s="164" t="s">
        <v>18</v>
      </c>
      <c r="Z4" s="164" t="s">
        <v>19</v>
      </c>
      <c r="AA4" s="164" t="s">
        <v>39</v>
      </c>
      <c r="AB4" s="164" t="s">
        <v>20</v>
      </c>
      <c r="AC4" s="164" t="s">
        <v>21</v>
      </c>
      <c r="AD4" s="164" t="s">
        <v>22</v>
      </c>
      <c r="AE4" s="164" t="s">
        <v>23</v>
      </c>
      <c r="AF4" s="164" t="s">
        <v>24</v>
      </c>
      <c r="AG4" s="164" t="s">
        <v>99</v>
      </c>
      <c r="AH4" s="164" t="s">
        <v>100</v>
      </c>
      <c r="AI4" s="164" t="s">
        <v>126</v>
      </c>
      <c r="AJ4" s="164" t="s">
        <v>115</v>
      </c>
      <c r="AK4" s="164" t="s">
        <v>116</v>
      </c>
      <c r="AL4" s="164" t="s">
        <v>107</v>
      </c>
      <c r="AM4" s="164" t="s">
        <v>117</v>
      </c>
      <c r="AN4" s="164" t="s">
        <v>118</v>
      </c>
      <c r="AO4" s="167" t="s">
        <v>119</v>
      </c>
    </row>
    <row r="5" spans="2:41">
      <c r="B5" s="5" t="s">
        <v>32</v>
      </c>
      <c r="C5" s="7">
        <v>6030</v>
      </c>
      <c r="G5" s="28">
        <v>8</v>
      </c>
      <c r="H5" s="29">
        <v>0</v>
      </c>
      <c r="I5" s="30">
        <v>9</v>
      </c>
      <c r="J5" s="30">
        <v>0</v>
      </c>
      <c r="K5" s="30"/>
      <c r="L5" s="31"/>
      <c r="M5" s="30">
        <v>1</v>
      </c>
      <c r="N5" s="32"/>
      <c r="P5" s="171"/>
      <c r="Q5" s="174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  <c r="AD5" s="165"/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8"/>
    </row>
    <row r="6" spans="2:41">
      <c r="B6" s="5" t="s">
        <v>33</v>
      </c>
      <c r="C6" s="6"/>
      <c r="D6" s="5" t="s">
        <v>34</v>
      </c>
      <c r="E6" s="6"/>
      <c r="G6" s="19">
        <v>9</v>
      </c>
      <c r="H6" s="20">
        <v>0</v>
      </c>
      <c r="I6" s="21">
        <v>12</v>
      </c>
      <c r="J6" s="21">
        <v>0</v>
      </c>
      <c r="K6" s="21">
        <v>3</v>
      </c>
      <c r="L6" s="25"/>
      <c r="M6" s="21"/>
      <c r="N6" s="26"/>
      <c r="P6" s="171"/>
      <c r="Q6" s="174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5"/>
      <c r="AO6" s="168"/>
    </row>
    <row r="7" spans="2:41">
      <c r="B7" s="5" t="s">
        <v>35</v>
      </c>
      <c r="C7" s="6"/>
      <c r="D7" s="5" t="s">
        <v>36</v>
      </c>
      <c r="E7" s="6"/>
      <c r="G7" s="19">
        <v>12</v>
      </c>
      <c r="H7" s="20">
        <v>0</v>
      </c>
      <c r="I7" s="21">
        <v>13</v>
      </c>
      <c r="J7" s="21">
        <v>0</v>
      </c>
      <c r="K7" s="21"/>
      <c r="L7" s="25"/>
      <c r="M7" s="21">
        <v>1</v>
      </c>
      <c r="N7" s="26"/>
      <c r="P7" s="171"/>
      <c r="Q7" s="174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  <c r="AD7" s="165"/>
      <c r="AE7" s="165"/>
      <c r="AF7" s="165"/>
      <c r="AG7" s="165"/>
      <c r="AH7" s="165"/>
      <c r="AI7" s="165"/>
      <c r="AJ7" s="165"/>
      <c r="AK7" s="165"/>
      <c r="AL7" s="165"/>
      <c r="AM7" s="165"/>
      <c r="AN7" s="165"/>
      <c r="AO7" s="168"/>
    </row>
    <row r="8" spans="2:41">
      <c r="G8" s="19">
        <v>13</v>
      </c>
      <c r="H8" s="20">
        <v>0</v>
      </c>
      <c r="I8" s="21">
        <v>18</v>
      </c>
      <c r="J8" s="21">
        <v>0</v>
      </c>
      <c r="K8" s="21">
        <v>5</v>
      </c>
      <c r="L8" s="25"/>
      <c r="M8" s="21"/>
      <c r="N8" s="26"/>
      <c r="P8" s="171"/>
      <c r="Q8" s="174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  <c r="AD8" s="165"/>
      <c r="AE8" s="165"/>
      <c r="AF8" s="165"/>
      <c r="AG8" s="165"/>
      <c r="AH8" s="165"/>
      <c r="AI8" s="165"/>
      <c r="AJ8" s="165"/>
      <c r="AK8" s="165"/>
      <c r="AL8" s="165"/>
      <c r="AM8" s="165"/>
      <c r="AN8" s="165"/>
      <c r="AO8" s="168"/>
    </row>
    <row r="9" spans="2:41">
      <c r="G9" s="19">
        <v>18</v>
      </c>
      <c r="H9" s="20">
        <v>0</v>
      </c>
      <c r="I9" s="21">
        <v>18</v>
      </c>
      <c r="J9" s="21">
        <v>30</v>
      </c>
      <c r="K9" s="21"/>
      <c r="L9" s="25"/>
      <c r="M9" s="21">
        <v>0</v>
      </c>
      <c r="N9" s="26">
        <v>30</v>
      </c>
      <c r="P9" s="172"/>
      <c r="Q9" s="175"/>
      <c r="R9" s="166"/>
      <c r="S9" s="166"/>
      <c r="T9" s="166"/>
      <c r="U9" s="166"/>
      <c r="V9" s="166"/>
      <c r="W9" s="166"/>
      <c r="X9" s="166"/>
      <c r="Y9" s="166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166"/>
      <c r="AK9" s="166"/>
      <c r="AL9" s="166"/>
      <c r="AM9" s="166"/>
      <c r="AN9" s="166"/>
      <c r="AO9" s="169"/>
    </row>
    <row r="10" spans="2:41">
      <c r="G10" s="19">
        <v>18</v>
      </c>
      <c r="H10" s="20">
        <v>30</v>
      </c>
      <c r="I10" s="21">
        <v>21</v>
      </c>
      <c r="J10" s="21">
        <v>30</v>
      </c>
      <c r="K10" s="21">
        <v>3</v>
      </c>
      <c r="L10" s="25"/>
      <c r="M10" s="21"/>
      <c r="N10" s="26"/>
      <c r="P10" s="42" t="s">
        <v>42</v>
      </c>
      <c r="Q10" s="17" t="s">
        <v>43</v>
      </c>
      <c r="R10" s="18" t="s">
        <v>43</v>
      </c>
      <c r="S10" s="12" t="s">
        <v>46</v>
      </c>
      <c r="T10" s="12" t="s">
        <v>45</v>
      </c>
      <c r="U10" s="12" t="s">
        <v>44</v>
      </c>
      <c r="V10" s="18" t="s">
        <v>43</v>
      </c>
      <c r="W10" s="12" t="s">
        <v>47</v>
      </c>
      <c r="X10" s="12" t="s">
        <v>48</v>
      </c>
      <c r="Y10" s="12" t="s">
        <v>48</v>
      </c>
      <c r="Z10" s="12" t="s">
        <v>48</v>
      </c>
      <c r="AA10" s="12" t="s">
        <v>48</v>
      </c>
      <c r="AB10" s="12" t="s">
        <v>48</v>
      </c>
      <c r="AC10" s="12" t="s">
        <v>48</v>
      </c>
      <c r="AD10" s="12" t="s">
        <v>48</v>
      </c>
      <c r="AE10" s="12" t="s">
        <v>48</v>
      </c>
      <c r="AF10" s="12" t="s">
        <v>101</v>
      </c>
      <c r="AG10" s="12" t="s">
        <v>109</v>
      </c>
      <c r="AH10" s="12" t="s">
        <v>109</v>
      </c>
      <c r="AI10" s="12" t="s">
        <v>109</v>
      </c>
      <c r="AJ10" s="18" t="s">
        <v>43</v>
      </c>
      <c r="AK10" s="18" t="s">
        <v>43</v>
      </c>
      <c r="AL10" s="18" t="s">
        <v>43</v>
      </c>
      <c r="AM10" s="18" t="s">
        <v>43</v>
      </c>
      <c r="AN10" s="18" t="s">
        <v>43</v>
      </c>
      <c r="AO10" s="48" t="s">
        <v>110</v>
      </c>
    </row>
    <row r="11" spans="2:41">
      <c r="G11" s="19">
        <v>21</v>
      </c>
      <c r="H11" s="20">
        <v>30</v>
      </c>
      <c r="I11" s="21">
        <v>22</v>
      </c>
      <c r="J11" s="21">
        <v>0</v>
      </c>
      <c r="K11" s="21"/>
      <c r="L11" s="25"/>
      <c r="M11" s="21">
        <v>0</v>
      </c>
      <c r="N11" s="26">
        <v>30</v>
      </c>
      <c r="P11" s="43" t="s">
        <v>41</v>
      </c>
      <c r="Q11" s="13" t="s">
        <v>50</v>
      </c>
      <c r="R11" s="14" t="s">
        <v>103</v>
      </c>
      <c r="S11" s="15" t="s">
        <v>57</v>
      </c>
      <c r="T11" s="15" t="s">
        <v>57</v>
      </c>
      <c r="U11" s="15" t="s">
        <v>57</v>
      </c>
      <c r="V11" s="14" t="s">
        <v>51</v>
      </c>
      <c r="W11" s="15" t="s">
        <v>57</v>
      </c>
      <c r="X11" s="16" t="s">
        <v>49</v>
      </c>
      <c r="Y11" s="16" t="s">
        <v>49</v>
      </c>
      <c r="Z11" s="16" t="s">
        <v>49</v>
      </c>
      <c r="AA11" s="16" t="s">
        <v>49</v>
      </c>
      <c r="AB11" s="16" t="s">
        <v>49</v>
      </c>
      <c r="AC11" s="16" t="s">
        <v>49</v>
      </c>
      <c r="AD11" s="16" t="s">
        <v>49</v>
      </c>
      <c r="AE11" s="16" t="s">
        <v>49</v>
      </c>
      <c r="AF11" s="16" t="s">
        <v>102</v>
      </c>
      <c r="AG11" s="15" t="s">
        <v>108</v>
      </c>
      <c r="AH11" s="15" t="s">
        <v>108</v>
      </c>
      <c r="AI11" s="15" t="s">
        <v>108</v>
      </c>
      <c r="AJ11" s="14" t="s">
        <v>111</v>
      </c>
      <c r="AK11" s="14" t="s">
        <v>111</v>
      </c>
      <c r="AL11" s="14" t="s">
        <v>111</v>
      </c>
      <c r="AM11" s="14" t="s">
        <v>112</v>
      </c>
      <c r="AN11" s="14" t="s">
        <v>112</v>
      </c>
      <c r="AO11" s="49" t="s">
        <v>113</v>
      </c>
    </row>
    <row r="12" spans="2:41">
      <c r="D12" s="1"/>
      <c r="G12" s="19">
        <v>22</v>
      </c>
      <c r="H12" s="20">
        <v>0</v>
      </c>
      <c r="I12" s="21">
        <v>25</v>
      </c>
      <c r="J12" s="21">
        <v>0</v>
      </c>
      <c r="K12" s="21">
        <v>3</v>
      </c>
      <c r="L12" s="25"/>
      <c r="M12" s="21"/>
      <c r="N12" s="26"/>
    </row>
    <row r="13" spans="2:41">
      <c r="D13" s="1"/>
      <c r="G13" s="19">
        <v>25</v>
      </c>
      <c r="H13" s="20">
        <v>0</v>
      </c>
      <c r="I13" s="21">
        <v>26</v>
      </c>
      <c r="J13" s="21">
        <v>0</v>
      </c>
      <c r="K13" s="21"/>
      <c r="L13" s="25"/>
      <c r="M13" s="21">
        <v>1</v>
      </c>
      <c r="N13" s="26"/>
    </row>
    <row r="14" spans="2:41">
      <c r="G14" s="19">
        <v>26</v>
      </c>
      <c r="H14" s="20">
        <v>0</v>
      </c>
      <c r="I14" s="21">
        <v>29</v>
      </c>
      <c r="J14" s="21">
        <v>0</v>
      </c>
      <c r="K14" s="21">
        <v>3</v>
      </c>
      <c r="L14" s="25"/>
      <c r="M14" s="21"/>
      <c r="N14" s="26"/>
    </row>
    <row r="15" spans="2:41">
      <c r="G15" s="19">
        <v>29</v>
      </c>
      <c r="H15" s="20">
        <v>0</v>
      </c>
      <c r="I15" s="21">
        <v>30</v>
      </c>
      <c r="J15" s="21">
        <v>0</v>
      </c>
      <c r="K15" s="21"/>
      <c r="L15" s="25"/>
      <c r="M15" s="21">
        <v>1</v>
      </c>
      <c r="N15" s="26"/>
    </row>
    <row r="16" spans="2:41">
      <c r="G16" s="19">
        <v>30</v>
      </c>
      <c r="H16" s="20">
        <v>0</v>
      </c>
      <c r="I16" s="21">
        <v>32</v>
      </c>
      <c r="J16" s="21">
        <v>0</v>
      </c>
      <c r="K16" s="21">
        <v>2</v>
      </c>
      <c r="L16" s="25"/>
      <c r="M16" s="21"/>
      <c r="N16" s="26"/>
    </row>
    <row r="17" spans="7:14">
      <c r="G17" s="23">
        <v>32</v>
      </c>
      <c r="H17" s="24">
        <v>0</v>
      </c>
      <c r="I17" s="22">
        <v>33</v>
      </c>
      <c r="J17" s="22">
        <v>0</v>
      </c>
      <c r="K17" s="22"/>
      <c r="L17" s="27"/>
      <c r="M17" s="27">
        <v>1</v>
      </c>
      <c r="N17" s="41"/>
    </row>
  </sheetData>
  <mergeCells count="26">
    <mergeCell ref="P4:P9"/>
    <mergeCell ref="V4:V9"/>
    <mergeCell ref="AF4:AF9"/>
    <mergeCell ref="AD4:AD9"/>
    <mergeCell ref="AC4:AC9"/>
    <mergeCell ref="AE4:AE9"/>
    <mergeCell ref="Q4:Q9"/>
    <mergeCell ref="R4:R9"/>
    <mergeCell ref="S4:S9"/>
    <mergeCell ref="T4:T9"/>
    <mergeCell ref="AG4:AG9"/>
    <mergeCell ref="AH4:AH9"/>
    <mergeCell ref="W4:W9"/>
    <mergeCell ref="U4:U9"/>
    <mergeCell ref="AB4:AB9"/>
    <mergeCell ref="AA4:AA9"/>
    <mergeCell ref="Z4:Z9"/>
    <mergeCell ref="Y4:Y9"/>
    <mergeCell ref="X4:X9"/>
    <mergeCell ref="AI4:AI9"/>
    <mergeCell ref="AN4:AN9"/>
    <mergeCell ref="AO4:AO9"/>
    <mergeCell ref="AJ4:AJ9"/>
    <mergeCell ref="AK4:AK9"/>
    <mergeCell ref="AL4:AL9"/>
    <mergeCell ref="AM4:AM9"/>
  </mergeCells>
  <phoneticPr fontId="1"/>
  <printOptions headings="1"/>
  <pageMargins left="0.78700000000000003" right="0.78700000000000003" top="0.98399999999999999" bottom="0.98399999999999999" header="0.51200000000000001" footer="0.51200000000000001"/>
  <pageSetup paperSize="9" scale="99" orientation="landscape" horizontalDpi="4294967292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M36"/>
  <sheetViews>
    <sheetView zoomScale="80" workbookViewId="0"/>
  </sheetViews>
  <sheetFormatPr defaultColWidth="8" defaultRowHeight="12"/>
  <cols>
    <col min="1" max="1" width="4.625" style="138" bestFit="1" customWidth="1"/>
    <col min="2" max="2" width="4.25" style="138" bestFit="1" customWidth="1"/>
    <col min="3" max="6" width="2.75" style="138" bestFit="1" customWidth="1"/>
    <col min="7" max="8" width="2.75" style="138" customWidth="1"/>
    <col min="9" max="11" width="2.75" style="138" bestFit="1" customWidth="1"/>
    <col min="12" max="12" width="73.375" style="138" bestFit="1" customWidth="1"/>
    <col min="13" max="13" width="61.75" style="138" bestFit="1" customWidth="1"/>
    <col min="14" max="16384" width="8" style="138"/>
  </cols>
  <sheetData>
    <row r="2" spans="1:13" s="136" customFormat="1" ht="13.5" customHeight="1">
      <c r="A2" s="176" t="s">
        <v>232</v>
      </c>
      <c r="B2" s="176" t="s">
        <v>233</v>
      </c>
      <c r="C2" s="178" t="s">
        <v>143</v>
      </c>
      <c r="D2" s="178"/>
      <c r="E2" s="178"/>
      <c r="F2" s="178"/>
      <c r="G2" s="178"/>
      <c r="H2" s="178"/>
      <c r="I2" s="178"/>
      <c r="J2" s="178"/>
      <c r="K2" s="178"/>
      <c r="L2" s="176" t="s">
        <v>144</v>
      </c>
      <c r="M2" s="176" t="s">
        <v>208</v>
      </c>
    </row>
    <row r="3" spans="1:13" ht="49.5">
      <c r="A3" s="177"/>
      <c r="B3" s="177"/>
      <c r="C3" s="137" t="s">
        <v>145</v>
      </c>
      <c r="D3" s="137" t="s">
        <v>146</v>
      </c>
      <c r="E3" s="137" t="s">
        <v>209</v>
      </c>
      <c r="F3" s="137" t="s">
        <v>210</v>
      </c>
      <c r="G3" s="137" t="s">
        <v>147</v>
      </c>
      <c r="H3" s="137" t="s">
        <v>211</v>
      </c>
      <c r="I3" s="137" t="s">
        <v>148</v>
      </c>
      <c r="J3" s="137" t="s">
        <v>149</v>
      </c>
      <c r="K3" s="137" t="s">
        <v>150</v>
      </c>
      <c r="L3" s="177"/>
      <c r="M3" s="177"/>
    </row>
    <row r="4" spans="1:13">
      <c r="A4" s="139">
        <v>1</v>
      </c>
      <c r="B4" s="139">
        <v>1</v>
      </c>
      <c r="C4" s="140"/>
      <c r="D4" s="140" t="s">
        <v>212</v>
      </c>
      <c r="E4" s="140" t="s">
        <v>212</v>
      </c>
      <c r="F4" s="140" t="s">
        <v>212</v>
      </c>
      <c r="G4" s="140" t="s">
        <v>212</v>
      </c>
      <c r="H4" s="140"/>
      <c r="I4" s="140"/>
      <c r="J4" s="140"/>
      <c r="K4" s="140"/>
      <c r="L4" s="141" t="s">
        <v>151</v>
      </c>
      <c r="M4" s="141" t="s">
        <v>127</v>
      </c>
    </row>
    <row r="5" spans="1:13">
      <c r="A5" s="139">
        <v>2</v>
      </c>
      <c r="B5" s="139">
        <v>1</v>
      </c>
      <c r="C5" s="142"/>
      <c r="D5" s="140" t="s">
        <v>213</v>
      </c>
      <c r="E5" s="140" t="s">
        <v>213</v>
      </c>
      <c r="F5" s="140"/>
      <c r="G5" s="140"/>
      <c r="H5" s="140"/>
      <c r="I5" s="142"/>
      <c r="J5" s="142"/>
      <c r="K5" s="142"/>
      <c r="L5" s="141" t="s">
        <v>153</v>
      </c>
      <c r="M5" s="141" t="s">
        <v>128</v>
      </c>
    </row>
    <row r="6" spans="1:13">
      <c r="A6" s="139">
        <v>3</v>
      </c>
      <c r="B6" s="139">
        <v>1</v>
      </c>
      <c r="C6" s="140"/>
      <c r="D6" s="140"/>
      <c r="E6" s="140"/>
      <c r="F6" s="140" t="s">
        <v>205</v>
      </c>
      <c r="G6" s="140" t="s">
        <v>205</v>
      </c>
      <c r="H6" s="140"/>
      <c r="I6" s="143"/>
      <c r="J6" s="143"/>
      <c r="K6" s="143"/>
      <c r="L6" s="143" t="s">
        <v>154</v>
      </c>
      <c r="M6" s="141" t="s">
        <v>129</v>
      </c>
    </row>
    <row r="7" spans="1:13">
      <c r="A7" s="139">
        <v>4</v>
      </c>
      <c r="B7" s="139">
        <v>1</v>
      </c>
      <c r="C7" s="140"/>
      <c r="D7" s="140" t="s">
        <v>214</v>
      </c>
      <c r="E7" s="140" t="s">
        <v>214</v>
      </c>
      <c r="F7" s="140" t="s">
        <v>214</v>
      </c>
      <c r="G7" s="140" t="s">
        <v>214</v>
      </c>
      <c r="H7" s="140"/>
      <c r="I7" s="141"/>
      <c r="J7" s="141"/>
      <c r="K7" s="141"/>
      <c r="L7" s="141" t="s">
        <v>155</v>
      </c>
      <c r="M7" s="141" t="s">
        <v>130</v>
      </c>
    </row>
    <row r="8" spans="1:13">
      <c r="A8" s="139">
        <v>5</v>
      </c>
      <c r="B8" s="139">
        <v>1</v>
      </c>
      <c r="C8" s="140"/>
      <c r="D8" s="140" t="s">
        <v>205</v>
      </c>
      <c r="E8" s="140"/>
      <c r="F8" s="140" t="s">
        <v>205</v>
      </c>
      <c r="G8" s="141"/>
      <c r="H8" s="141"/>
      <c r="I8" s="141"/>
      <c r="J8" s="141"/>
      <c r="K8" s="141"/>
      <c r="L8" s="141" t="s">
        <v>156</v>
      </c>
      <c r="M8" s="141" t="s">
        <v>131</v>
      </c>
    </row>
    <row r="9" spans="1:13" ht="24">
      <c r="A9" s="139">
        <v>6</v>
      </c>
      <c r="B9" s="139">
        <v>1</v>
      </c>
      <c r="C9" s="140" t="s">
        <v>202</v>
      </c>
      <c r="D9" s="140"/>
      <c r="E9" s="140"/>
      <c r="F9" s="141"/>
      <c r="G9" s="141"/>
      <c r="H9" s="141"/>
      <c r="I9" s="141"/>
      <c r="J9" s="141"/>
      <c r="K9" s="141"/>
      <c r="L9" s="143" t="s">
        <v>157</v>
      </c>
      <c r="M9" s="141" t="s">
        <v>132</v>
      </c>
    </row>
    <row r="10" spans="1:13">
      <c r="A10" s="139">
        <v>7</v>
      </c>
      <c r="B10" s="139">
        <v>1</v>
      </c>
      <c r="C10" s="140" t="s">
        <v>215</v>
      </c>
      <c r="D10" s="140" t="s">
        <v>215</v>
      </c>
      <c r="E10" s="140"/>
      <c r="F10" s="140"/>
      <c r="G10" s="140"/>
      <c r="H10" s="140"/>
      <c r="I10" s="141"/>
      <c r="J10" s="141"/>
      <c r="K10" s="141"/>
      <c r="L10" s="141" t="s">
        <v>158</v>
      </c>
      <c r="M10" s="141" t="s">
        <v>133</v>
      </c>
    </row>
    <row r="11" spans="1:13">
      <c r="A11" s="139">
        <v>8</v>
      </c>
      <c r="B11" s="139">
        <v>1</v>
      </c>
      <c r="C11" s="140" t="s">
        <v>215</v>
      </c>
      <c r="D11" s="140" t="s">
        <v>215</v>
      </c>
      <c r="E11" s="141"/>
      <c r="F11" s="140"/>
      <c r="G11" s="140"/>
      <c r="H11" s="140"/>
      <c r="I11" s="141"/>
      <c r="J11" s="141"/>
      <c r="K11" s="141"/>
      <c r="L11" s="141" t="s">
        <v>160</v>
      </c>
      <c r="M11" s="141" t="s">
        <v>134</v>
      </c>
    </row>
    <row r="12" spans="1:13" ht="24">
      <c r="A12" s="139">
        <v>9</v>
      </c>
      <c r="B12" s="139">
        <v>1</v>
      </c>
      <c r="C12" s="140" t="s">
        <v>215</v>
      </c>
      <c r="D12" s="140"/>
      <c r="E12" s="140"/>
      <c r="F12" s="141"/>
      <c r="G12" s="141"/>
      <c r="H12" s="141"/>
      <c r="I12" s="141"/>
      <c r="J12" s="141"/>
      <c r="K12" s="141"/>
      <c r="L12" s="143" t="s">
        <v>161</v>
      </c>
      <c r="M12" s="141" t="s">
        <v>135</v>
      </c>
    </row>
    <row r="13" spans="1:13">
      <c r="A13" s="139">
        <v>10</v>
      </c>
      <c r="B13" s="139">
        <v>1</v>
      </c>
      <c r="C13" s="140" t="s">
        <v>212</v>
      </c>
      <c r="D13" s="140" t="s">
        <v>212</v>
      </c>
      <c r="E13" s="140"/>
      <c r="F13" s="141"/>
      <c r="G13" s="141"/>
      <c r="H13" s="141"/>
      <c r="I13" s="141"/>
      <c r="J13" s="141"/>
      <c r="K13" s="141"/>
      <c r="L13" s="141" t="s">
        <v>162</v>
      </c>
      <c r="M13" s="141" t="s">
        <v>136</v>
      </c>
    </row>
    <row r="14" spans="1:13">
      <c r="A14" s="139">
        <v>11</v>
      </c>
      <c r="B14" s="139">
        <v>1</v>
      </c>
      <c r="C14" s="140" t="s">
        <v>212</v>
      </c>
      <c r="D14" s="140" t="s">
        <v>212</v>
      </c>
      <c r="E14" s="141"/>
      <c r="F14" s="141"/>
      <c r="G14" s="141"/>
      <c r="H14" s="141"/>
      <c r="I14" s="141"/>
      <c r="J14" s="141"/>
      <c r="K14" s="141"/>
      <c r="L14" s="141" t="s">
        <v>163</v>
      </c>
      <c r="M14" s="141" t="s">
        <v>216</v>
      </c>
    </row>
    <row r="15" spans="1:13">
      <c r="A15" s="139">
        <v>12</v>
      </c>
      <c r="B15" s="139">
        <v>1</v>
      </c>
      <c r="C15" s="140"/>
      <c r="D15" s="140" t="s">
        <v>212</v>
      </c>
      <c r="E15" s="141"/>
      <c r="F15" s="141"/>
      <c r="G15" s="141"/>
      <c r="H15" s="140" t="s">
        <v>212</v>
      </c>
      <c r="I15" s="141"/>
      <c r="J15" s="141"/>
      <c r="K15" s="141"/>
      <c r="L15" s="141" t="s">
        <v>189</v>
      </c>
      <c r="M15" s="141" t="s">
        <v>191</v>
      </c>
    </row>
    <row r="16" spans="1:13">
      <c r="A16" s="139">
        <v>13</v>
      </c>
      <c r="B16" s="139">
        <v>1</v>
      </c>
      <c r="C16" s="140"/>
      <c r="D16" s="140" t="s">
        <v>202</v>
      </c>
      <c r="E16" s="141"/>
      <c r="F16" s="141"/>
      <c r="G16" s="141"/>
      <c r="H16" s="140" t="s">
        <v>202</v>
      </c>
      <c r="I16" s="141"/>
      <c r="J16" s="141"/>
      <c r="K16" s="141"/>
      <c r="L16" s="141" t="s">
        <v>190</v>
      </c>
      <c r="M16" s="141" t="s">
        <v>192</v>
      </c>
    </row>
    <row r="17" spans="1:13">
      <c r="A17" s="139">
        <v>12</v>
      </c>
      <c r="B17" s="139">
        <v>2</v>
      </c>
      <c r="C17" s="140"/>
      <c r="D17" s="140" t="s">
        <v>203</v>
      </c>
      <c r="E17" s="140" t="s">
        <v>203</v>
      </c>
      <c r="F17" s="141"/>
      <c r="G17" s="141"/>
      <c r="H17" s="141"/>
      <c r="I17" s="141"/>
      <c r="J17" s="141"/>
      <c r="K17" s="141"/>
      <c r="L17" s="141" t="s">
        <v>164</v>
      </c>
      <c r="M17" s="141" t="s">
        <v>204</v>
      </c>
    </row>
    <row r="18" spans="1:13">
      <c r="A18" s="139">
        <v>13</v>
      </c>
      <c r="B18" s="139">
        <v>2</v>
      </c>
      <c r="C18" s="140"/>
      <c r="D18" s="140" t="s">
        <v>205</v>
      </c>
      <c r="E18" s="140"/>
      <c r="F18" s="141"/>
      <c r="G18" s="141"/>
      <c r="H18" s="141"/>
      <c r="I18" s="141"/>
      <c r="J18" s="141"/>
      <c r="K18" s="141"/>
      <c r="L18" s="141" t="s">
        <v>177</v>
      </c>
      <c r="M18" s="141" t="s">
        <v>234</v>
      </c>
    </row>
    <row r="19" spans="1:13">
      <c r="A19" s="139">
        <v>14</v>
      </c>
      <c r="B19" s="139">
        <v>2</v>
      </c>
      <c r="C19" s="140"/>
      <c r="D19" s="140"/>
      <c r="E19" s="140" t="s">
        <v>205</v>
      </c>
      <c r="F19" s="141"/>
      <c r="G19" s="141"/>
      <c r="H19" s="141"/>
      <c r="I19" s="141"/>
      <c r="J19" s="141"/>
      <c r="K19" s="141"/>
      <c r="L19" s="141" t="s">
        <v>206</v>
      </c>
      <c r="M19" s="141" t="s">
        <v>235</v>
      </c>
    </row>
    <row r="20" spans="1:13">
      <c r="A20" s="139">
        <v>15</v>
      </c>
      <c r="B20" s="139">
        <v>2</v>
      </c>
      <c r="C20" s="141"/>
      <c r="D20" s="140" t="s">
        <v>159</v>
      </c>
      <c r="E20" s="140" t="s">
        <v>159</v>
      </c>
      <c r="F20" s="141"/>
      <c r="G20" s="141"/>
      <c r="H20" s="141"/>
      <c r="I20" s="141"/>
      <c r="J20" s="141"/>
      <c r="K20" s="141"/>
      <c r="L20" s="141" t="s">
        <v>165</v>
      </c>
      <c r="M20" s="141" t="s">
        <v>137</v>
      </c>
    </row>
    <row r="21" spans="1:13">
      <c r="A21" s="139">
        <v>16</v>
      </c>
      <c r="B21" s="139">
        <v>2</v>
      </c>
      <c r="C21" s="141"/>
      <c r="D21" s="140"/>
      <c r="E21" s="140"/>
      <c r="F21" s="140" t="s">
        <v>205</v>
      </c>
      <c r="G21" s="140" t="s">
        <v>205</v>
      </c>
      <c r="H21" s="140"/>
      <c r="I21" s="141"/>
      <c r="J21" s="141"/>
      <c r="K21" s="141"/>
      <c r="L21" s="141" t="s">
        <v>166</v>
      </c>
      <c r="M21" s="141" t="s">
        <v>217</v>
      </c>
    </row>
    <row r="22" spans="1:13">
      <c r="A22" s="139">
        <v>17</v>
      </c>
      <c r="B22" s="139">
        <v>2</v>
      </c>
      <c r="C22" s="141"/>
      <c r="D22" s="141"/>
      <c r="E22" s="141"/>
      <c r="F22" s="140" t="s">
        <v>214</v>
      </c>
      <c r="G22" s="140"/>
      <c r="H22" s="140"/>
      <c r="I22" s="141"/>
      <c r="J22" s="141"/>
      <c r="K22" s="141"/>
      <c r="L22" s="141" t="s">
        <v>218</v>
      </c>
      <c r="M22" s="141" t="s">
        <v>236</v>
      </c>
    </row>
    <row r="23" spans="1:13">
      <c r="A23" s="139">
        <v>18</v>
      </c>
      <c r="B23" s="139">
        <v>2</v>
      </c>
      <c r="C23" s="141"/>
      <c r="D23" s="141"/>
      <c r="E23" s="141"/>
      <c r="F23" s="141"/>
      <c r="G23" s="140" t="s">
        <v>214</v>
      </c>
      <c r="H23" s="140"/>
      <c r="I23" s="141"/>
      <c r="J23" s="141"/>
      <c r="K23" s="141"/>
      <c r="L23" s="141" t="s">
        <v>178</v>
      </c>
      <c r="M23" s="141" t="s">
        <v>237</v>
      </c>
    </row>
    <row r="24" spans="1:13">
      <c r="A24" s="139">
        <v>19</v>
      </c>
      <c r="B24" s="139">
        <v>2</v>
      </c>
      <c r="C24" s="141"/>
      <c r="D24" s="141"/>
      <c r="E24" s="141"/>
      <c r="F24" s="140" t="s">
        <v>152</v>
      </c>
      <c r="G24" s="140" t="s">
        <v>152</v>
      </c>
      <c r="H24" s="140"/>
      <c r="I24" s="141"/>
      <c r="J24" s="141"/>
      <c r="K24" s="141"/>
      <c r="L24" s="141" t="s">
        <v>138</v>
      </c>
      <c r="M24" s="141" t="s">
        <v>139</v>
      </c>
    </row>
    <row r="25" spans="1:13">
      <c r="A25" s="139">
        <v>20</v>
      </c>
      <c r="B25" s="139">
        <v>2</v>
      </c>
      <c r="C25" s="141"/>
      <c r="D25" s="140" t="s">
        <v>152</v>
      </c>
      <c r="E25" s="140" t="s">
        <v>152</v>
      </c>
      <c r="F25" s="140" t="s">
        <v>152</v>
      </c>
      <c r="G25" s="140" t="s">
        <v>152</v>
      </c>
      <c r="H25" s="140"/>
      <c r="I25" s="141"/>
      <c r="J25" s="141"/>
      <c r="K25" s="141"/>
      <c r="L25" s="141" t="s">
        <v>167</v>
      </c>
      <c r="M25" s="141" t="s">
        <v>140</v>
      </c>
    </row>
    <row r="26" spans="1:13">
      <c r="A26" s="139">
        <v>21</v>
      </c>
      <c r="B26" s="139">
        <v>3</v>
      </c>
      <c r="C26" s="141"/>
      <c r="D26" s="141"/>
      <c r="E26" s="141"/>
      <c r="F26" s="140"/>
      <c r="G26" s="140"/>
      <c r="H26" s="140"/>
      <c r="I26" s="141"/>
      <c r="J26" s="141"/>
      <c r="K26" s="140" t="s">
        <v>205</v>
      </c>
      <c r="L26" s="141" t="s">
        <v>141</v>
      </c>
      <c r="M26" s="141" t="s">
        <v>219</v>
      </c>
    </row>
    <row r="27" spans="1:13">
      <c r="A27" s="139">
        <v>22</v>
      </c>
      <c r="B27" s="139">
        <v>3</v>
      </c>
      <c r="C27" s="140" t="s">
        <v>205</v>
      </c>
      <c r="D27" s="140"/>
      <c r="E27" s="141"/>
      <c r="F27" s="141"/>
      <c r="G27" s="141"/>
      <c r="H27" s="141"/>
      <c r="I27" s="141"/>
      <c r="J27" s="141"/>
      <c r="K27" s="140" t="s">
        <v>205</v>
      </c>
      <c r="L27" s="141" t="s">
        <v>168</v>
      </c>
      <c r="M27" s="141" t="s">
        <v>220</v>
      </c>
    </row>
    <row r="28" spans="1:13">
      <c r="A28" s="139">
        <v>23</v>
      </c>
      <c r="B28" s="139">
        <v>3</v>
      </c>
      <c r="C28" s="140" t="s">
        <v>215</v>
      </c>
      <c r="D28" s="140" t="s">
        <v>215</v>
      </c>
      <c r="E28" s="141"/>
      <c r="F28" s="141"/>
      <c r="G28" s="141"/>
      <c r="H28" s="141"/>
      <c r="I28" s="141"/>
      <c r="J28" s="141"/>
      <c r="K28" s="140" t="s">
        <v>215</v>
      </c>
      <c r="L28" s="141" t="s">
        <v>169</v>
      </c>
      <c r="M28" s="141" t="s">
        <v>221</v>
      </c>
    </row>
    <row r="29" spans="1:13">
      <c r="A29" s="139">
        <v>24</v>
      </c>
      <c r="B29" s="139">
        <v>3</v>
      </c>
      <c r="C29" s="140" t="s">
        <v>215</v>
      </c>
      <c r="D29" s="141"/>
      <c r="E29" s="141"/>
      <c r="F29" s="141"/>
      <c r="G29" s="141"/>
      <c r="H29" s="141"/>
      <c r="I29" s="141"/>
      <c r="J29" s="141"/>
      <c r="K29" s="140" t="s">
        <v>215</v>
      </c>
      <c r="L29" s="141" t="s">
        <v>170</v>
      </c>
      <c r="M29" s="141" t="s">
        <v>222</v>
      </c>
    </row>
    <row r="30" spans="1:13">
      <c r="A30" s="139">
        <v>25</v>
      </c>
      <c r="B30" s="139">
        <v>3</v>
      </c>
      <c r="C30" s="140" t="s">
        <v>212</v>
      </c>
      <c r="D30" s="140" t="s">
        <v>212</v>
      </c>
      <c r="E30" s="141"/>
      <c r="F30" s="141"/>
      <c r="G30" s="141"/>
      <c r="H30" s="141"/>
      <c r="I30" s="141"/>
      <c r="J30" s="141"/>
      <c r="K30" s="140" t="s">
        <v>212</v>
      </c>
      <c r="L30" s="141" t="s">
        <v>171</v>
      </c>
      <c r="M30" s="141" t="s">
        <v>223</v>
      </c>
    </row>
    <row r="31" spans="1:13">
      <c r="A31" s="139">
        <v>26</v>
      </c>
      <c r="B31" s="139">
        <v>3</v>
      </c>
      <c r="C31" s="141"/>
      <c r="D31" s="141"/>
      <c r="E31" s="141"/>
      <c r="F31" s="141"/>
      <c r="G31" s="141"/>
      <c r="H31" s="141"/>
      <c r="I31" s="140" t="s">
        <v>212</v>
      </c>
      <c r="J31" s="140" t="s">
        <v>212</v>
      </c>
      <c r="K31" s="141"/>
      <c r="L31" s="141" t="s">
        <v>142</v>
      </c>
      <c r="M31" s="141" t="s">
        <v>224</v>
      </c>
    </row>
    <row r="32" spans="1:13">
      <c r="A32" s="139">
        <v>27</v>
      </c>
      <c r="B32" s="139">
        <v>3</v>
      </c>
      <c r="C32" s="140" t="s">
        <v>212</v>
      </c>
      <c r="D32" s="141"/>
      <c r="E32" s="141"/>
      <c r="F32" s="141"/>
      <c r="G32" s="141"/>
      <c r="H32" s="141"/>
      <c r="I32" s="141"/>
      <c r="J32" s="140" t="s">
        <v>212</v>
      </c>
      <c r="K32" s="141"/>
      <c r="L32" s="141" t="s">
        <v>172</v>
      </c>
      <c r="M32" s="141" t="s">
        <v>225</v>
      </c>
    </row>
    <row r="33" spans="1:13">
      <c r="A33" s="139">
        <v>28</v>
      </c>
      <c r="B33" s="144" t="s">
        <v>226</v>
      </c>
      <c r="C33" s="141"/>
      <c r="D33" s="141"/>
      <c r="E33" s="141"/>
      <c r="F33" s="141"/>
      <c r="G33" s="141"/>
      <c r="H33" s="141"/>
      <c r="I33" s="141"/>
      <c r="J33" s="141"/>
      <c r="K33" s="141"/>
      <c r="L33" s="141" t="s">
        <v>173</v>
      </c>
      <c r="M33" s="141" t="s">
        <v>227</v>
      </c>
    </row>
    <row r="34" spans="1:13">
      <c r="A34" s="139">
        <v>29</v>
      </c>
      <c r="B34" s="144" t="s">
        <v>228</v>
      </c>
      <c r="C34" s="141"/>
      <c r="D34" s="141"/>
      <c r="E34" s="141"/>
      <c r="F34" s="141"/>
      <c r="G34" s="141"/>
      <c r="H34" s="141"/>
      <c r="I34" s="141"/>
      <c r="J34" s="141"/>
      <c r="K34" s="141"/>
      <c r="L34" s="141" t="s">
        <v>174</v>
      </c>
      <c r="M34" s="141" t="s">
        <v>229</v>
      </c>
    </row>
    <row r="35" spans="1:13">
      <c r="A35" s="139">
        <v>30</v>
      </c>
      <c r="B35" s="144" t="s">
        <v>230</v>
      </c>
      <c r="C35" s="141"/>
      <c r="D35" s="141"/>
      <c r="E35" s="141"/>
      <c r="F35" s="141"/>
      <c r="G35" s="141"/>
      <c r="H35" s="141"/>
      <c r="I35" s="141"/>
      <c r="J35" s="141"/>
      <c r="K35" s="141"/>
      <c r="L35" s="141" t="s">
        <v>175</v>
      </c>
      <c r="M35" s="141" t="s">
        <v>179</v>
      </c>
    </row>
    <row r="36" spans="1:13">
      <c r="A36" s="139">
        <v>31</v>
      </c>
      <c r="B36" s="144" t="s">
        <v>228</v>
      </c>
      <c r="C36" s="141"/>
      <c r="D36" s="141"/>
      <c r="E36" s="141"/>
      <c r="F36" s="141"/>
      <c r="G36" s="141"/>
      <c r="H36" s="141"/>
      <c r="I36" s="141"/>
      <c r="J36" s="141"/>
      <c r="K36" s="141"/>
      <c r="L36" s="141" t="s">
        <v>176</v>
      </c>
      <c r="M36" s="141" t="s">
        <v>231</v>
      </c>
    </row>
  </sheetData>
  <mergeCells count="5">
    <mergeCell ref="A2:A3"/>
    <mergeCell ref="C2:K2"/>
    <mergeCell ref="L2:L3"/>
    <mergeCell ref="M2:M3"/>
    <mergeCell ref="B2:B3"/>
  </mergeCells>
  <phoneticPr fontId="26"/>
  <pageMargins left="0.78700000000000003" right="0.78700000000000003" top="0.98399999999999999" bottom="0.98399999999999999" header="0.51200000000000001" footer="0.51200000000000001"/>
  <pageSetup paperSize="9" scale="77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C61"/>
  <sheetViews>
    <sheetView showGridLines="0" view="pageBreakPreview" zoomScaleSheetLayoutView="100" workbookViewId="0">
      <selection activeCell="A11" sqref="A11:AC41"/>
    </sheetView>
  </sheetViews>
  <sheetFormatPr defaultColWidth="9" defaultRowHeight="13.5"/>
  <cols>
    <col min="1" max="2" width="3.125" style="52" customWidth="1"/>
    <col min="3" max="4" width="4.75" style="52" customWidth="1"/>
    <col min="5" max="9" width="3.125" style="52" customWidth="1"/>
    <col min="10" max="10" width="3.375" style="52" customWidth="1"/>
    <col min="11" max="29" width="3.125" style="52" customWidth="1"/>
    <col min="30" max="16384" width="9" style="152"/>
  </cols>
  <sheetData>
    <row r="1" spans="1:29" s="52" customFormat="1" ht="19.5" customHeight="1">
      <c r="A1" s="185" t="s">
        <v>281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85"/>
      <c r="AA1" s="185"/>
      <c r="AB1" s="185"/>
      <c r="AC1" s="185"/>
    </row>
    <row r="2" spans="1:29" s="52" customFormat="1" ht="15" customHeight="1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52" t="s">
        <v>265</v>
      </c>
    </row>
    <row r="3" spans="1:29" s="52" customFormat="1" ht="12">
      <c r="A3" s="186" t="s">
        <v>194</v>
      </c>
      <c r="B3" s="188" t="s">
        <v>195</v>
      </c>
      <c r="C3" s="189"/>
      <c r="D3" s="189"/>
      <c r="E3" s="189"/>
      <c r="F3" s="189"/>
      <c r="G3" s="189"/>
      <c r="H3" s="189"/>
      <c r="I3" s="190"/>
      <c r="J3" s="194" t="s">
        <v>196</v>
      </c>
      <c r="K3" s="195"/>
      <c r="L3" s="195"/>
      <c r="M3" s="196"/>
      <c r="N3" s="200" t="s">
        <v>197</v>
      </c>
      <c r="O3" s="201"/>
      <c r="P3" s="201"/>
      <c r="Q3" s="201"/>
      <c r="R3" s="201"/>
      <c r="S3" s="201"/>
      <c r="T3" s="201"/>
      <c r="U3" s="201"/>
      <c r="V3" s="202"/>
      <c r="W3" s="72"/>
      <c r="X3" s="188" t="s">
        <v>73</v>
      </c>
      <c r="Y3" s="189"/>
      <c r="Z3" s="190"/>
      <c r="AA3" s="188" t="s">
        <v>74</v>
      </c>
      <c r="AB3" s="189"/>
      <c r="AC3" s="203"/>
    </row>
    <row r="4" spans="1:29" s="52" customFormat="1" ht="12">
      <c r="A4" s="187"/>
      <c r="B4" s="191"/>
      <c r="C4" s="192"/>
      <c r="D4" s="192"/>
      <c r="E4" s="192"/>
      <c r="F4" s="192"/>
      <c r="G4" s="192"/>
      <c r="H4" s="192"/>
      <c r="I4" s="193"/>
      <c r="J4" s="197"/>
      <c r="K4" s="198"/>
      <c r="L4" s="198"/>
      <c r="M4" s="199"/>
      <c r="N4" s="205" t="s">
        <v>198</v>
      </c>
      <c r="O4" s="206"/>
      <c r="P4" s="207"/>
      <c r="Q4" s="205" t="s">
        <v>199</v>
      </c>
      <c r="R4" s="206"/>
      <c r="S4" s="207"/>
      <c r="T4" s="205" t="s">
        <v>200</v>
      </c>
      <c r="U4" s="206"/>
      <c r="V4" s="208"/>
      <c r="W4" s="72"/>
      <c r="X4" s="191"/>
      <c r="Y4" s="192"/>
      <c r="Z4" s="193"/>
      <c r="AA4" s="191"/>
      <c r="AB4" s="192"/>
      <c r="AC4" s="204"/>
    </row>
    <row r="5" spans="1:29" s="52" customFormat="1" ht="19.5" customHeight="1">
      <c r="A5" s="153">
        <v>1</v>
      </c>
      <c r="B5" s="179" t="s">
        <v>270</v>
      </c>
      <c r="C5" s="180"/>
      <c r="D5" s="180"/>
      <c r="E5" s="180"/>
      <c r="F5" s="180"/>
      <c r="G5" s="180"/>
      <c r="H5" s="180"/>
      <c r="I5" s="181"/>
      <c r="J5" s="209" t="s">
        <v>268</v>
      </c>
      <c r="K5" s="210"/>
      <c r="L5" s="210"/>
      <c r="M5" s="211"/>
      <c r="N5" s="200" t="s">
        <v>288</v>
      </c>
      <c r="O5" s="201"/>
      <c r="P5" s="212"/>
      <c r="Q5" s="213" t="s">
        <v>295</v>
      </c>
      <c r="R5" s="213"/>
      <c r="S5" s="213"/>
      <c r="T5" s="213" t="s">
        <v>317</v>
      </c>
      <c r="U5" s="213"/>
      <c r="V5" s="214"/>
      <c r="W5" s="77"/>
      <c r="X5" s="78"/>
      <c r="Y5" s="79"/>
      <c r="Z5" s="80"/>
      <c r="AA5" s="78"/>
      <c r="AB5" s="79"/>
      <c r="AC5" s="77"/>
    </row>
    <row r="6" spans="1:29" s="52" customFormat="1" ht="19.5" customHeight="1">
      <c r="A6" s="154">
        <v>2</v>
      </c>
      <c r="B6" s="182"/>
      <c r="C6" s="183"/>
      <c r="D6" s="183"/>
      <c r="E6" s="183"/>
      <c r="F6" s="183"/>
      <c r="G6" s="183"/>
      <c r="H6" s="183"/>
      <c r="I6" s="184"/>
      <c r="J6" s="215"/>
      <c r="K6" s="216"/>
      <c r="L6" s="216"/>
      <c r="M6" s="217"/>
      <c r="N6" s="218" t="s">
        <v>306</v>
      </c>
      <c r="O6" s="218"/>
      <c r="P6" s="218"/>
      <c r="Q6" s="218" t="s">
        <v>316</v>
      </c>
      <c r="R6" s="218"/>
      <c r="S6" s="218"/>
      <c r="T6" s="218" t="s">
        <v>264</v>
      </c>
      <c r="U6" s="218"/>
      <c r="V6" s="219"/>
      <c r="W6" s="77"/>
      <c r="X6" s="78"/>
      <c r="Y6" s="79"/>
      <c r="Z6" s="80"/>
      <c r="AA6" s="78"/>
      <c r="AB6" s="79"/>
      <c r="AC6" s="77"/>
    </row>
    <row r="7" spans="1:29" s="52" customFormat="1" ht="19.5" customHeight="1">
      <c r="A7" s="223" t="s">
        <v>201</v>
      </c>
      <c r="B7" s="224"/>
      <c r="C7" s="224"/>
      <c r="D7" s="224"/>
      <c r="E7" s="224"/>
      <c r="F7" s="224"/>
      <c r="G7" s="224"/>
      <c r="H7" s="224"/>
      <c r="I7" s="224"/>
      <c r="J7" s="224"/>
      <c r="K7" s="224"/>
      <c r="L7" s="224"/>
      <c r="M7" s="225"/>
      <c r="N7" s="226" t="s">
        <v>307</v>
      </c>
      <c r="O7" s="226"/>
      <c r="P7" s="226"/>
      <c r="Q7" s="226" t="s">
        <v>295</v>
      </c>
      <c r="R7" s="226"/>
      <c r="S7" s="226"/>
      <c r="T7" s="226" t="s">
        <v>296</v>
      </c>
      <c r="U7" s="226"/>
      <c r="V7" s="227"/>
      <c r="W7" s="77"/>
      <c r="X7" s="85"/>
      <c r="Y7" s="86"/>
      <c r="Z7" s="87"/>
      <c r="AA7" s="85"/>
      <c r="AB7" s="86"/>
      <c r="AC7" s="88"/>
    </row>
    <row r="8" spans="1:29" s="52" customFormat="1" ht="11.25" customHeight="1">
      <c r="A8" s="89"/>
      <c r="B8" s="89"/>
      <c r="C8" s="89"/>
      <c r="D8" s="89"/>
      <c r="E8" s="89"/>
      <c r="F8" s="89"/>
      <c r="G8" s="89"/>
      <c r="H8" s="89"/>
      <c r="I8" s="89"/>
      <c r="J8" s="89"/>
      <c r="K8" s="89"/>
      <c r="L8" s="90"/>
      <c r="M8" s="90"/>
      <c r="N8" s="90"/>
      <c r="O8" s="90"/>
      <c r="P8" s="90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</row>
    <row r="9" spans="1:29" s="52" customFormat="1" ht="19.5" customHeight="1">
      <c r="A9" s="91" t="s">
        <v>297</v>
      </c>
      <c r="L9" s="91" t="s">
        <v>298</v>
      </c>
      <c r="T9" s="91" t="s">
        <v>244</v>
      </c>
    </row>
    <row r="10" spans="1:29" s="52" customFormat="1" ht="19.5" customHeight="1">
      <c r="A10" s="92" t="s">
        <v>54</v>
      </c>
      <c r="B10" s="93" t="s">
        <v>80</v>
      </c>
      <c r="C10" s="220" t="s">
        <v>6</v>
      </c>
      <c r="D10" s="222"/>
      <c r="E10" s="221" t="s">
        <v>81</v>
      </c>
      <c r="F10" s="221"/>
      <c r="G10" s="222"/>
      <c r="H10" s="220" t="s">
        <v>82</v>
      </c>
      <c r="I10" s="221"/>
      <c r="J10" s="222"/>
      <c r="K10" s="220" t="s">
        <v>7</v>
      </c>
      <c r="L10" s="221"/>
      <c r="M10" s="221"/>
      <c r="N10" s="222"/>
      <c r="O10" s="220" t="s">
        <v>69</v>
      </c>
      <c r="P10" s="221"/>
      <c r="Q10" s="222"/>
      <c r="R10" s="94" t="s">
        <v>83</v>
      </c>
      <c r="S10" s="220" t="s">
        <v>84</v>
      </c>
      <c r="T10" s="221"/>
      <c r="U10" s="221"/>
      <c r="V10" s="221"/>
      <c r="W10" s="221"/>
      <c r="X10" s="221"/>
      <c r="Y10" s="221"/>
      <c r="Z10" s="221"/>
      <c r="AA10" s="222"/>
      <c r="AB10" s="220" t="s">
        <v>85</v>
      </c>
      <c r="AC10" s="228"/>
    </row>
    <row r="11" spans="1:29" s="52" customFormat="1" ht="19.5" customHeight="1">
      <c r="A11" s="95">
        <v>21</v>
      </c>
      <c r="B11" s="96">
        <v>4</v>
      </c>
      <c r="C11" s="229"/>
      <c r="D11" s="230"/>
      <c r="E11" s="231" t="s">
        <v>287</v>
      </c>
      <c r="F11" s="231"/>
      <c r="G11" s="232"/>
      <c r="H11" s="233">
        <v>0.77083333333333337</v>
      </c>
      <c r="I11" s="234"/>
      <c r="J11" s="235"/>
      <c r="K11" s="236" t="s">
        <v>92</v>
      </c>
      <c r="L11" s="237"/>
      <c r="M11" s="237"/>
      <c r="N11" s="238"/>
      <c r="O11" s="239" t="s">
        <v>299</v>
      </c>
      <c r="P11" s="234"/>
      <c r="Q11" s="235"/>
      <c r="R11" s="97">
        <v>1</v>
      </c>
      <c r="S11" s="98" t="s">
        <v>286</v>
      </c>
      <c r="T11" s="162"/>
      <c r="U11" s="162"/>
      <c r="V11" s="162"/>
      <c r="W11" s="162"/>
      <c r="X11" s="162"/>
      <c r="Y11" s="162"/>
      <c r="Z11" s="162"/>
      <c r="AA11" s="162"/>
      <c r="AB11" s="240"/>
      <c r="AC11" s="241"/>
    </row>
    <row r="12" spans="1:29" s="52" customFormat="1" ht="19.5" customHeight="1">
      <c r="A12" s="95">
        <v>22</v>
      </c>
      <c r="B12" s="96">
        <v>5</v>
      </c>
      <c r="C12" s="229"/>
      <c r="D12" s="230"/>
      <c r="E12" s="231" t="s">
        <v>282</v>
      </c>
      <c r="F12" s="231"/>
      <c r="G12" s="232"/>
      <c r="H12" s="233">
        <v>0.84722222222222221</v>
      </c>
      <c r="I12" s="234"/>
      <c r="J12" s="235"/>
      <c r="K12" s="236" t="s">
        <v>92</v>
      </c>
      <c r="L12" s="237"/>
      <c r="M12" s="237"/>
      <c r="N12" s="238"/>
      <c r="O12" s="239" t="s">
        <v>300</v>
      </c>
      <c r="P12" s="234"/>
      <c r="Q12" s="235"/>
      <c r="R12" s="97">
        <v>1</v>
      </c>
      <c r="S12" s="98" t="s">
        <v>301</v>
      </c>
      <c r="T12" s="162"/>
      <c r="U12" s="162"/>
      <c r="V12" s="162"/>
      <c r="W12" s="162"/>
      <c r="X12" s="162"/>
      <c r="Y12" s="162"/>
      <c r="Z12" s="162"/>
      <c r="AA12" s="162"/>
      <c r="AB12" s="240"/>
      <c r="AC12" s="241"/>
    </row>
    <row r="13" spans="1:29" s="52" customFormat="1" ht="19.5" customHeight="1">
      <c r="A13" s="95">
        <v>23</v>
      </c>
      <c r="B13" s="96">
        <v>6</v>
      </c>
      <c r="C13" s="229"/>
      <c r="D13" s="230"/>
      <c r="E13" s="231" t="s">
        <v>287</v>
      </c>
      <c r="F13" s="231"/>
      <c r="G13" s="232"/>
      <c r="H13" s="233">
        <v>0.85416666666666663</v>
      </c>
      <c r="I13" s="234"/>
      <c r="J13" s="235"/>
      <c r="K13" s="236" t="s">
        <v>92</v>
      </c>
      <c r="L13" s="237"/>
      <c r="M13" s="237"/>
      <c r="N13" s="238"/>
      <c r="O13" s="239" t="s">
        <v>284</v>
      </c>
      <c r="P13" s="234"/>
      <c r="Q13" s="235"/>
      <c r="R13" s="97">
        <v>1</v>
      </c>
      <c r="S13" s="98" t="s">
        <v>302</v>
      </c>
      <c r="T13" s="162"/>
      <c r="U13" s="162"/>
      <c r="V13" s="162"/>
      <c r="W13" s="162"/>
      <c r="X13" s="162"/>
      <c r="Y13" s="162"/>
      <c r="Z13" s="162"/>
      <c r="AA13" s="162"/>
      <c r="AB13" s="240"/>
      <c r="AC13" s="241"/>
    </row>
    <row r="14" spans="1:29" s="52" customFormat="1" ht="19.5" customHeight="1">
      <c r="A14" s="95">
        <v>24</v>
      </c>
      <c r="B14" s="96">
        <v>7</v>
      </c>
      <c r="C14" s="229"/>
      <c r="D14" s="230"/>
      <c r="E14" s="231" t="s">
        <v>282</v>
      </c>
      <c r="F14" s="231"/>
      <c r="G14" s="232"/>
      <c r="H14" s="233">
        <v>0.8125</v>
      </c>
      <c r="I14" s="234"/>
      <c r="J14" s="235"/>
      <c r="K14" s="236" t="s">
        <v>92</v>
      </c>
      <c r="L14" s="237"/>
      <c r="M14" s="237"/>
      <c r="N14" s="238"/>
      <c r="O14" s="239" t="s">
        <v>303</v>
      </c>
      <c r="P14" s="234"/>
      <c r="Q14" s="235"/>
      <c r="R14" s="97">
        <v>1</v>
      </c>
      <c r="S14" s="98" t="s">
        <v>290</v>
      </c>
      <c r="T14" s="162"/>
      <c r="U14" s="162"/>
      <c r="V14" s="162"/>
      <c r="W14" s="162"/>
      <c r="X14" s="162"/>
      <c r="Y14" s="162"/>
      <c r="Z14" s="162"/>
      <c r="AA14" s="162"/>
      <c r="AB14" s="240"/>
      <c r="AC14" s="241"/>
    </row>
    <row r="15" spans="1:29" s="52" customFormat="1" ht="19.5" customHeight="1">
      <c r="A15" s="134">
        <v>25</v>
      </c>
      <c r="B15" s="135">
        <v>8</v>
      </c>
      <c r="C15" s="229"/>
      <c r="D15" s="230"/>
      <c r="E15" s="231" t="s">
        <v>93</v>
      </c>
      <c r="F15" s="231"/>
      <c r="G15" s="232"/>
      <c r="H15" s="233" t="s">
        <v>93</v>
      </c>
      <c r="I15" s="234"/>
      <c r="J15" s="235"/>
      <c r="K15" s="236" t="s">
        <v>92</v>
      </c>
      <c r="L15" s="237"/>
      <c r="M15" s="237"/>
      <c r="N15" s="238"/>
      <c r="O15" s="239" t="s">
        <v>86</v>
      </c>
      <c r="P15" s="234"/>
      <c r="Q15" s="235"/>
      <c r="R15" s="97"/>
      <c r="S15" s="98" t="s">
        <v>286</v>
      </c>
      <c r="T15" s="162"/>
      <c r="U15" s="162"/>
      <c r="V15" s="162"/>
      <c r="W15" s="162"/>
      <c r="X15" s="162"/>
      <c r="Y15" s="162"/>
      <c r="Z15" s="162"/>
      <c r="AA15" s="162"/>
      <c r="AB15" s="240"/>
      <c r="AC15" s="241"/>
    </row>
    <row r="16" spans="1:29" s="52" customFormat="1" ht="19.5" customHeight="1">
      <c r="A16" s="134">
        <v>26</v>
      </c>
      <c r="B16" s="135">
        <v>2</v>
      </c>
      <c r="C16" s="229"/>
      <c r="D16" s="230"/>
      <c r="E16" s="231" t="s">
        <v>93</v>
      </c>
      <c r="F16" s="231"/>
      <c r="G16" s="232"/>
      <c r="H16" s="233" t="s">
        <v>93</v>
      </c>
      <c r="I16" s="234"/>
      <c r="J16" s="235"/>
      <c r="K16" s="236" t="s">
        <v>92</v>
      </c>
      <c r="L16" s="237"/>
      <c r="M16" s="237"/>
      <c r="N16" s="238"/>
      <c r="O16" s="239" t="s">
        <v>86</v>
      </c>
      <c r="P16" s="234"/>
      <c r="Q16" s="235"/>
      <c r="R16" s="97"/>
      <c r="S16" s="98" t="s">
        <v>285</v>
      </c>
      <c r="T16" s="162"/>
      <c r="U16" s="162"/>
      <c r="V16" s="162"/>
      <c r="W16" s="162"/>
      <c r="X16" s="162"/>
      <c r="Y16" s="162"/>
      <c r="Z16" s="162"/>
      <c r="AA16" s="162"/>
      <c r="AB16" s="240"/>
      <c r="AC16" s="241"/>
    </row>
    <row r="17" spans="1:29" s="52" customFormat="1" ht="19.5" customHeight="1">
      <c r="A17" s="95">
        <v>27</v>
      </c>
      <c r="B17" s="96">
        <v>3</v>
      </c>
      <c r="C17" s="229"/>
      <c r="D17" s="230"/>
      <c r="E17" s="231" t="s">
        <v>287</v>
      </c>
      <c r="F17" s="231"/>
      <c r="G17" s="232"/>
      <c r="H17" s="233">
        <v>0.85416666666666663</v>
      </c>
      <c r="I17" s="234"/>
      <c r="J17" s="235"/>
      <c r="K17" s="236" t="s">
        <v>92</v>
      </c>
      <c r="L17" s="237"/>
      <c r="M17" s="237"/>
      <c r="N17" s="238"/>
      <c r="O17" s="239" t="s">
        <v>284</v>
      </c>
      <c r="P17" s="234"/>
      <c r="Q17" s="235"/>
      <c r="R17" s="97">
        <v>1</v>
      </c>
      <c r="S17" s="98" t="s">
        <v>286</v>
      </c>
      <c r="T17" s="162"/>
      <c r="U17" s="162"/>
      <c r="V17" s="162"/>
      <c r="W17" s="162"/>
      <c r="X17" s="162"/>
      <c r="Y17" s="162"/>
      <c r="Z17" s="162"/>
      <c r="AA17" s="162"/>
      <c r="AB17" s="240"/>
      <c r="AC17" s="241"/>
    </row>
    <row r="18" spans="1:29" s="52" customFormat="1" ht="19.5" customHeight="1">
      <c r="A18" s="95">
        <v>28</v>
      </c>
      <c r="B18" s="96">
        <v>4</v>
      </c>
      <c r="C18" s="229"/>
      <c r="D18" s="230"/>
      <c r="E18" s="231" t="s">
        <v>287</v>
      </c>
      <c r="F18" s="231"/>
      <c r="G18" s="232"/>
      <c r="H18" s="233">
        <v>0.84027777777777779</v>
      </c>
      <c r="I18" s="234"/>
      <c r="J18" s="235"/>
      <c r="K18" s="236" t="s">
        <v>92</v>
      </c>
      <c r="L18" s="237"/>
      <c r="M18" s="237"/>
      <c r="N18" s="238"/>
      <c r="O18" s="239" t="s">
        <v>304</v>
      </c>
      <c r="P18" s="234"/>
      <c r="Q18" s="235"/>
      <c r="R18" s="97">
        <v>1</v>
      </c>
      <c r="S18" s="98" t="s">
        <v>305</v>
      </c>
      <c r="T18" s="162"/>
      <c r="U18" s="162"/>
      <c r="V18" s="162"/>
      <c r="W18" s="162"/>
      <c r="X18" s="162"/>
      <c r="Y18" s="162"/>
      <c r="Z18" s="162"/>
      <c r="AA18" s="162"/>
      <c r="AB18" s="240"/>
      <c r="AC18" s="241"/>
    </row>
    <row r="19" spans="1:29" s="52" customFormat="1" ht="19.5" customHeight="1">
      <c r="A19" s="134">
        <v>29</v>
      </c>
      <c r="B19" s="135">
        <v>5</v>
      </c>
      <c r="C19" s="229"/>
      <c r="D19" s="230"/>
      <c r="E19" s="231" t="s">
        <v>93</v>
      </c>
      <c r="F19" s="231"/>
      <c r="G19" s="232"/>
      <c r="H19" s="233" t="s">
        <v>93</v>
      </c>
      <c r="I19" s="234"/>
      <c r="J19" s="235"/>
      <c r="K19" s="236" t="s">
        <v>92</v>
      </c>
      <c r="L19" s="237"/>
      <c r="M19" s="237"/>
      <c r="N19" s="238"/>
      <c r="O19" s="239" t="s">
        <v>86</v>
      </c>
      <c r="P19" s="234"/>
      <c r="Q19" s="235"/>
      <c r="R19" s="97"/>
      <c r="S19" s="98" t="s">
        <v>290</v>
      </c>
      <c r="T19" s="162"/>
      <c r="U19" s="162"/>
      <c r="V19" s="162"/>
      <c r="W19" s="162"/>
      <c r="X19" s="162"/>
      <c r="Y19" s="162"/>
      <c r="Z19" s="162"/>
      <c r="AA19" s="162"/>
      <c r="AB19" s="240"/>
      <c r="AC19" s="241"/>
    </row>
    <row r="20" spans="1:29" s="52" customFormat="1" ht="19.5" customHeight="1">
      <c r="A20" s="95">
        <v>30</v>
      </c>
      <c r="B20" s="96">
        <v>6</v>
      </c>
      <c r="C20" s="229"/>
      <c r="D20" s="230"/>
      <c r="E20" s="231" t="s">
        <v>287</v>
      </c>
      <c r="F20" s="231"/>
      <c r="G20" s="232"/>
      <c r="H20" s="233">
        <v>0.85416666666666663</v>
      </c>
      <c r="I20" s="234"/>
      <c r="J20" s="235"/>
      <c r="K20" s="236" t="s">
        <v>92</v>
      </c>
      <c r="L20" s="237"/>
      <c r="M20" s="237"/>
      <c r="N20" s="238"/>
      <c r="O20" s="239" t="s">
        <v>284</v>
      </c>
      <c r="P20" s="234"/>
      <c r="Q20" s="235"/>
      <c r="R20" s="97">
        <v>1</v>
      </c>
      <c r="S20" s="98" t="s">
        <v>286</v>
      </c>
      <c r="T20" s="162"/>
      <c r="U20" s="162"/>
      <c r="V20" s="162"/>
      <c r="W20" s="162"/>
      <c r="X20" s="162"/>
      <c r="Y20" s="162"/>
      <c r="Z20" s="162"/>
      <c r="AA20" s="162"/>
      <c r="AB20" s="240"/>
      <c r="AC20" s="241"/>
    </row>
    <row r="21" spans="1:29" s="52" customFormat="1" ht="19.5" customHeight="1">
      <c r="A21" s="95" t="s">
        <v>106</v>
      </c>
      <c r="B21" s="96" t="s">
        <v>106</v>
      </c>
      <c r="C21" s="229"/>
      <c r="D21" s="230"/>
      <c r="E21" s="231" t="s">
        <v>93</v>
      </c>
      <c r="F21" s="231"/>
      <c r="G21" s="232"/>
      <c r="H21" s="233" t="s">
        <v>93</v>
      </c>
      <c r="I21" s="234"/>
      <c r="J21" s="235"/>
      <c r="K21" s="236" t="s">
        <v>92</v>
      </c>
      <c r="L21" s="237"/>
      <c r="M21" s="237"/>
      <c r="N21" s="238"/>
      <c r="O21" s="239" t="s">
        <v>86</v>
      </c>
      <c r="P21" s="234"/>
      <c r="Q21" s="235"/>
      <c r="R21" s="97"/>
      <c r="S21" s="98" t="s">
        <v>272</v>
      </c>
      <c r="T21" s="162"/>
      <c r="U21" s="162"/>
      <c r="V21" s="162"/>
      <c r="W21" s="162"/>
      <c r="X21" s="162"/>
      <c r="Y21" s="162"/>
      <c r="Z21" s="162"/>
      <c r="AA21" s="162"/>
      <c r="AB21" s="240"/>
      <c r="AC21" s="241"/>
    </row>
    <row r="22" spans="1:29" s="52" customFormat="1" ht="19.5" customHeight="1">
      <c r="A22" s="95">
        <v>1</v>
      </c>
      <c r="B22" s="96">
        <v>7</v>
      </c>
      <c r="C22" s="229"/>
      <c r="D22" s="230"/>
      <c r="E22" s="231" t="s">
        <v>287</v>
      </c>
      <c r="F22" s="231"/>
      <c r="G22" s="232"/>
      <c r="H22" s="233">
        <v>0.75</v>
      </c>
      <c r="I22" s="234"/>
      <c r="J22" s="235"/>
      <c r="K22" s="236" t="s">
        <v>92</v>
      </c>
      <c r="L22" s="237"/>
      <c r="M22" s="237"/>
      <c r="N22" s="238"/>
      <c r="O22" s="239" t="s">
        <v>313</v>
      </c>
      <c r="P22" s="234"/>
      <c r="Q22" s="235"/>
      <c r="R22" s="97">
        <v>1</v>
      </c>
      <c r="S22" s="98" t="s">
        <v>285</v>
      </c>
      <c r="T22" s="162"/>
      <c r="U22" s="162"/>
      <c r="V22" s="162"/>
      <c r="W22" s="162"/>
      <c r="X22" s="162"/>
      <c r="Y22" s="162"/>
      <c r="Z22" s="162"/>
      <c r="AA22" s="162"/>
      <c r="AB22" s="240"/>
      <c r="AC22" s="241"/>
    </row>
    <row r="23" spans="1:29" s="52" customFormat="1" ht="19.5" customHeight="1">
      <c r="A23" s="134">
        <v>2</v>
      </c>
      <c r="B23" s="135">
        <v>8</v>
      </c>
      <c r="C23" s="229" t="s">
        <v>280</v>
      </c>
      <c r="D23" s="230"/>
      <c r="E23" s="231">
        <v>0.41666666666666669</v>
      </c>
      <c r="F23" s="231"/>
      <c r="G23" s="232"/>
      <c r="H23" s="233">
        <v>0.97222222222222221</v>
      </c>
      <c r="I23" s="234"/>
      <c r="J23" s="235"/>
      <c r="K23" s="236" t="s">
        <v>92</v>
      </c>
      <c r="L23" s="237"/>
      <c r="M23" s="237"/>
      <c r="N23" s="238"/>
      <c r="O23" s="239" t="s">
        <v>315</v>
      </c>
      <c r="P23" s="234"/>
      <c r="Q23" s="235"/>
      <c r="R23" s="97">
        <v>1</v>
      </c>
      <c r="S23" s="98" t="s">
        <v>286</v>
      </c>
      <c r="T23" s="162"/>
      <c r="U23" s="162"/>
      <c r="V23" s="162"/>
      <c r="W23" s="162"/>
      <c r="X23" s="162"/>
      <c r="Y23" s="162"/>
      <c r="Z23" s="162"/>
      <c r="AA23" s="162"/>
      <c r="AB23" s="240"/>
      <c r="AC23" s="241"/>
    </row>
    <row r="24" spans="1:29" s="52" customFormat="1" ht="19.5" customHeight="1">
      <c r="A24" s="134">
        <v>3</v>
      </c>
      <c r="B24" s="135">
        <v>2</v>
      </c>
      <c r="C24" s="229" t="s">
        <v>280</v>
      </c>
      <c r="D24" s="230"/>
      <c r="E24" s="231">
        <v>0.41666666666666669</v>
      </c>
      <c r="F24" s="231"/>
      <c r="G24" s="232"/>
      <c r="H24" s="233" t="s">
        <v>293</v>
      </c>
      <c r="I24" s="234"/>
      <c r="J24" s="235"/>
      <c r="K24" s="236" t="s">
        <v>92</v>
      </c>
      <c r="L24" s="237"/>
      <c r="M24" s="237"/>
      <c r="N24" s="238"/>
      <c r="O24" s="239" t="s">
        <v>294</v>
      </c>
      <c r="P24" s="234"/>
      <c r="Q24" s="235"/>
      <c r="R24" s="97">
        <v>1</v>
      </c>
      <c r="S24" s="98" t="s">
        <v>286</v>
      </c>
      <c r="T24" s="162"/>
      <c r="U24" s="162"/>
      <c r="V24" s="162"/>
      <c r="W24" s="162"/>
      <c r="X24" s="162"/>
      <c r="Y24" s="162"/>
      <c r="Z24" s="162"/>
      <c r="AA24" s="162"/>
      <c r="AB24" s="240"/>
      <c r="AC24" s="241"/>
    </row>
    <row r="25" spans="1:29" s="52" customFormat="1" ht="19.5" customHeight="1">
      <c r="A25" s="134">
        <v>4</v>
      </c>
      <c r="B25" s="135">
        <v>3</v>
      </c>
      <c r="C25" s="229"/>
      <c r="D25" s="230"/>
      <c r="E25" s="231" t="s">
        <v>93</v>
      </c>
      <c r="F25" s="231"/>
      <c r="G25" s="232"/>
      <c r="H25" s="233" t="s">
        <v>93</v>
      </c>
      <c r="I25" s="234"/>
      <c r="J25" s="235"/>
      <c r="K25" s="236" t="s">
        <v>92</v>
      </c>
      <c r="L25" s="237"/>
      <c r="M25" s="237"/>
      <c r="N25" s="238"/>
      <c r="O25" s="239" t="s">
        <v>86</v>
      </c>
      <c r="P25" s="234"/>
      <c r="Q25" s="235"/>
      <c r="R25" s="97"/>
      <c r="S25" s="98" t="s">
        <v>286</v>
      </c>
      <c r="T25" s="162"/>
      <c r="U25" s="162"/>
      <c r="V25" s="162"/>
      <c r="W25" s="162"/>
      <c r="X25" s="162"/>
      <c r="Y25" s="162"/>
      <c r="Z25" s="162"/>
      <c r="AA25" s="162"/>
      <c r="AB25" s="240"/>
      <c r="AC25" s="241"/>
    </row>
    <row r="26" spans="1:29" s="52" customFormat="1" ht="19.5" customHeight="1">
      <c r="A26" s="134">
        <v>5</v>
      </c>
      <c r="B26" s="135">
        <v>4</v>
      </c>
      <c r="C26" s="229" t="s">
        <v>280</v>
      </c>
      <c r="D26" s="230"/>
      <c r="E26" s="231">
        <v>0.4375</v>
      </c>
      <c r="F26" s="231"/>
      <c r="G26" s="232"/>
      <c r="H26" s="233" t="s">
        <v>314</v>
      </c>
      <c r="I26" s="234"/>
      <c r="J26" s="235"/>
      <c r="K26" s="236" t="s">
        <v>92</v>
      </c>
      <c r="L26" s="237"/>
      <c r="M26" s="237"/>
      <c r="N26" s="238"/>
      <c r="O26" s="239" t="s">
        <v>292</v>
      </c>
      <c r="P26" s="234"/>
      <c r="Q26" s="235"/>
      <c r="R26" s="97">
        <v>1</v>
      </c>
      <c r="S26" s="98" t="s">
        <v>286</v>
      </c>
      <c r="T26" s="162"/>
      <c r="U26" s="162"/>
      <c r="V26" s="162"/>
      <c r="W26" s="162"/>
      <c r="X26" s="162"/>
      <c r="Y26" s="162"/>
      <c r="Z26" s="162"/>
      <c r="AA26" s="162"/>
      <c r="AB26" s="240"/>
      <c r="AC26" s="241"/>
    </row>
    <row r="27" spans="1:29" s="52" customFormat="1" ht="19.5" customHeight="1">
      <c r="A27" s="134">
        <v>6</v>
      </c>
      <c r="B27" s="135">
        <v>5</v>
      </c>
      <c r="C27" s="229"/>
      <c r="D27" s="230"/>
      <c r="E27" s="231" t="s">
        <v>93</v>
      </c>
      <c r="F27" s="231"/>
      <c r="G27" s="232"/>
      <c r="H27" s="233" t="s">
        <v>93</v>
      </c>
      <c r="I27" s="234"/>
      <c r="J27" s="235"/>
      <c r="K27" s="236" t="s">
        <v>92</v>
      </c>
      <c r="L27" s="237"/>
      <c r="M27" s="237"/>
      <c r="N27" s="238"/>
      <c r="O27" s="239" t="s">
        <v>86</v>
      </c>
      <c r="P27" s="234"/>
      <c r="Q27" s="235"/>
      <c r="R27" s="97"/>
      <c r="S27" s="98" t="s">
        <v>286</v>
      </c>
      <c r="T27" s="162"/>
      <c r="U27" s="162"/>
      <c r="V27" s="162"/>
      <c r="W27" s="162"/>
      <c r="X27" s="162"/>
      <c r="Y27" s="162"/>
      <c r="Z27" s="162"/>
      <c r="AA27" s="162"/>
      <c r="AB27" s="240"/>
      <c r="AC27" s="241"/>
    </row>
    <row r="28" spans="1:29" s="52" customFormat="1" ht="19.5" customHeight="1">
      <c r="A28" s="95">
        <v>7</v>
      </c>
      <c r="B28" s="96">
        <v>6</v>
      </c>
      <c r="C28" s="229"/>
      <c r="D28" s="230"/>
      <c r="E28" s="231">
        <v>0.4375</v>
      </c>
      <c r="F28" s="231"/>
      <c r="G28" s="232"/>
      <c r="H28" s="233">
        <v>0.77083333333333337</v>
      </c>
      <c r="I28" s="234"/>
      <c r="J28" s="235"/>
      <c r="K28" s="236" t="s">
        <v>92</v>
      </c>
      <c r="L28" s="237"/>
      <c r="M28" s="237"/>
      <c r="N28" s="238"/>
      <c r="O28" s="239" t="s">
        <v>291</v>
      </c>
      <c r="P28" s="234"/>
      <c r="Q28" s="235"/>
      <c r="R28" s="97">
        <v>1</v>
      </c>
      <c r="S28" s="98" t="s">
        <v>286</v>
      </c>
      <c r="T28" s="162"/>
      <c r="U28" s="162"/>
      <c r="V28" s="162"/>
      <c r="W28" s="162"/>
      <c r="X28" s="162"/>
      <c r="Y28" s="162"/>
      <c r="Z28" s="162"/>
      <c r="AA28" s="162"/>
      <c r="AB28" s="240"/>
      <c r="AC28" s="241"/>
    </row>
    <row r="29" spans="1:29" s="52" customFormat="1" ht="19.5" customHeight="1">
      <c r="A29" s="95">
        <v>8</v>
      </c>
      <c r="B29" s="96">
        <v>7</v>
      </c>
      <c r="C29" s="229"/>
      <c r="D29" s="230"/>
      <c r="E29" s="231" t="s">
        <v>282</v>
      </c>
      <c r="F29" s="231"/>
      <c r="G29" s="232"/>
      <c r="H29" s="233">
        <v>0.79166666666666663</v>
      </c>
      <c r="I29" s="234"/>
      <c r="J29" s="235"/>
      <c r="K29" s="236" t="s">
        <v>92</v>
      </c>
      <c r="L29" s="237"/>
      <c r="M29" s="237"/>
      <c r="N29" s="238"/>
      <c r="O29" s="239" t="s">
        <v>289</v>
      </c>
      <c r="P29" s="234"/>
      <c r="Q29" s="235"/>
      <c r="R29" s="97">
        <v>1</v>
      </c>
      <c r="S29" s="98" t="s">
        <v>286</v>
      </c>
      <c r="T29" s="162"/>
      <c r="U29" s="162"/>
      <c r="V29" s="162"/>
      <c r="W29" s="162"/>
      <c r="X29" s="162"/>
      <c r="Y29" s="162"/>
      <c r="Z29" s="162"/>
      <c r="AA29" s="162"/>
      <c r="AB29" s="240"/>
      <c r="AC29" s="241"/>
    </row>
    <row r="30" spans="1:29" s="52" customFormat="1" ht="19.5" customHeight="1">
      <c r="A30" s="134">
        <v>9</v>
      </c>
      <c r="B30" s="135">
        <v>8</v>
      </c>
      <c r="C30" s="229"/>
      <c r="D30" s="230"/>
      <c r="E30" s="231" t="s">
        <v>93</v>
      </c>
      <c r="F30" s="231"/>
      <c r="G30" s="232"/>
      <c r="H30" s="233" t="s">
        <v>93</v>
      </c>
      <c r="I30" s="234"/>
      <c r="J30" s="235"/>
      <c r="K30" s="236" t="s">
        <v>92</v>
      </c>
      <c r="L30" s="237"/>
      <c r="M30" s="237"/>
      <c r="N30" s="238"/>
      <c r="O30" s="239" t="s">
        <v>86</v>
      </c>
      <c r="P30" s="234"/>
      <c r="Q30" s="235"/>
      <c r="R30" s="97"/>
      <c r="S30" s="98" t="s">
        <v>286</v>
      </c>
      <c r="T30" s="162"/>
      <c r="U30" s="162"/>
      <c r="V30" s="162"/>
      <c r="W30" s="162"/>
      <c r="X30" s="162"/>
      <c r="Y30" s="162"/>
      <c r="Z30" s="162"/>
      <c r="AA30" s="162"/>
      <c r="AB30" s="240"/>
      <c r="AC30" s="241"/>
    </row>
    <row r="31" spans="1:29" s="52" customFormat="1" ht="19.5" customHeight="1">
      <c r="A31" s="134">
        <v>10</v>
      </c>
      <c r="B31" s="135">
        <v>2</v>
      </c>
      <c r="C31" s="229"/>
      <c r="D31" s="230"/>
      <c r="E31" s="231" t="s">
        <v>93</v>
      </c>
      <c r="F31" s="231"/>
      <c r="G31" s="232"/>
      <c r="H31" s="233" t="s">
        <v>93</v>
      </c>
      <c r="I31" s="234"/>
      <c r="J31" s="235"/>
      <c r="K31" s="236" t="s">
        <v>92</v>
      </c>
      <c r="L31" s="237"/>
      <c r="M31" s="237"/>
      <c r="N31" s="238"/>
      <c r="O31" s="239" t="s">
        <v>86</v>
      </c>
      <c r="P31" s="234"/>
      <c r="Q31" s="235"/>
      <c r="R31" s="97"/>
      <c r="S31" s="98" t="s">
        <v>286</v>
      </c>
      <c r="T31" s="162"/>
      <c r="U31" s="162"/>
      <c r="V31" s="162"/>
      <c r="W31" s="162"/>
      <c r="X31" s="162"/>
      <c r="Y31" s="162"/>
      <c r="Z31" s="162"/>
      <c r="AA31" s="162"/>
      <c r="AB31" s="240"/>
      <c r="AC31" s="241"/>
    </row>
    <row r="32" spans="1:29" s="52" customFormat="1" ht="19.5" customHeight="1">
      <c r="A32" s="95">
        <v>11</v>
      </c>
      <c r="B32" s="96">
        <v>3</v>
      </c>
      <c r="C32" s="229"/>
      <c r="D32" s="230"/>
      <c r="E32" s="231">
        <v>0.41666666666666669</v>
      </c>
      <c r="F32" s="231"/>
      <c r="G32" s="232"/>
      <c r="H32" s="233">
        <v>0.8125</v>
      </c>
      <c r="I32" s="234"/>
      <c r="J32" s="235"/>
      <c r="K32" s="236" t="s">
        <v>92</v>
      </c>
      <c r="L32" s="237"/>
      <c r="M32" s="237"/>
      <c r="N32" s="238"/>
      <c r="O32" s="239" t="s">
        <v>313</v>
      </c>
      <c r="P32" s="234"/>
      <c r="Q32" s="235"/>
      <c r="R32" s="97">
        <v>1</v>
      </c>
      <c r="S32" s="98" t="s">
        <v>286</v>
      </c>
      <c r="T32" s="162"/>
      <c r="U32" s="162"/>
      <c r="V32" s="162"/>
      <c r="W32" s="162"/>
      <c r="X32" s="162"/>
      <c r="Y32" s="162"/>
      <c r="Z32" s="162"/>
      <c r="AA32" s="162"/>
      <c r="AB32" s="240"/>
      <c r="AC32" s="241"/>
    </row>
    <row r="33" spans="1:29" s="52" customFormat="1" ht="19.5" customHeight="1">
      <c r="A33" s="95">
        <v>12</v>
      </c>
      <c r="B33" s="96">
        <v>4</v>
      </c>
      <c r="C33" s="229"/>
      <c r="D33" s="230"/>
      <c r="E33" s="231">
        <v>0.41666666666666669</v>
      </c>
      <c r="F33" s="231"/>
      <c r="G33" s="232"/>
      <c r="H33" s="233">
        <v>0.9375</v>
      </c>
      <c r="I33" s="234"/>
      <c r="J33" s="235"/>
      <c r="K33" s="236" t="s">
        <v>92</v>
      </c>
      <c r="L33" s="237"/>
      <c r="M33" s="237"/>
      <c r="N33" s="238"/>
      <c r="O33" s="239" t="s">
        <v>312</v>
      </c>
      <c r="P33" s="234"/>
      <c r="Q33" s="235"/>
      <c r="R33" s="97">
        <v>1</v>
      </c>
      <c r="S33" s="98" t="s">
        <v>286</v>
      </c>
      <c r="T33" s="162"/>
      <c r="U33" s="162"/>
      <c r="V33" s="162"/>
      <c r="W33" s="162"/>
      <c r="X33" s="162"/>
      <c r="Y33" s="162"/>
      <c r="Z33" s="162"/>
      <c r="AA33" s="162"/>
      <c r="AB33" s="240"/>
      <c r="AC33" s="241"/>
    </row>
    <row r="34" spans="1:29" s="52" customFormat="1" ht="19.5" customHeight="1">
      <c r="A34" s="95">
        <v>13</v>
      </c>
      <c r="B34" s="96">
        <v>5</v>
      </c>
      <c r="C34" s="229"/>
      <c r="D34" s="230"/>
      <c r="E34" s="231">
        <v>0.41666666666666669</v>
      </c>
      <c r="F34" s="231"/>
      <c r="G34" s="232"/>
      <c r="H34" s="233">
        <v>0.83333333333333337</v>
      </c>
      <c r="I34" s="234"/>
      <c r="J34" s="235"/>
      <c r="K34" s="236" t="s">
        <v>92</v>
      </c>
      <c r="L34" s="237"/>
      <c r="M34" s="237"/>
      <c r="N34" s="238"/>
      <c r="O34" s="239" t="s">
        <v>311</v>
      </c>
      <c r="P34" s="234"/>
      <c r="Q34" s="235"/>
      <c r="R34" s="97">
        <v>1</v>
      </c>
      <c r="S34" s="98" t="s">
        <v>286</v>
      </c>
      <c r="T34" s="162"/>
      <c r="U34" s="162"/>
      <c r="V34" s="162"/>
      <c r="W34" s="162"/>
      <c r="X34" s="162"/>
      <c r="Y34" s="162"/>
      <c r="Z34" s="162"/>
      <c r="AA34" s="162"/>
      <c r="AB34" s="240"/>
      <c r="AC34" s="241"/>
    </row>
    <row r="35" spans="1:29" s="52" customFormat="1" ht="19.5" customHeight="1">
      <c r="A35" s="95">
        <v>14</v>
      </c>
      <c r="B35" s="96">
        <v>6</v>
      </c>
      <c r="C35" s="229" t="s">
        <v>279</v>
      </c>
      <c r="D35" s="230"/>
      <c r="E35" s="231" t="s">
        <v>93</v>
      </c>
      <c r="F35" s="231"/>
      <c r="G35" s="232"/>
      <c r="H35" s="233" t="s">
        <v>93</v>
      </c>
      <c r="I35" s="234"/>
      <c r="J35" s="235"/>
      <c r="K35" s="236" t="s">
        <v>92</v>
      </c>
      <c r="L35" s="237"/>
      <c r="M35" s="237"/>
      <c r="N35" s="238"/>
      <c r="O35" s="239" t="s">
        <v>86</v>
      </c>
      <c r="P35" s="234"/>
      <c r="Q35" s="235"/>
      <c r="R35" s="97"/>
      <c r="S35" s="98" t="s">
        <v>286</v>
      </c>
      <c r="T35" s="162"/>
      <c r="U35" s="162"/>
      <c r="V35" s="162"/>
      <c r="W35" s="162"/>
      <c r="X35" s="162"/>
      <c r="Y35" s="162"/>
      <c r="Z35" s="162"/>
      <c r="AA35" s="162"/>
      <c r="AB35" s="240"/>
      <c r="AC35" s="241"/>
    </row>
    <row r="36" spans="1:29" s="52" customFormat="1" ht="19.5" customHeight="1">
      <c r="A36" s="95">
        <v>15</v>
      </c>
      <c r="B36" s="96">
        <v>7</v>
      </c>
      <c r="C36" s="229"/>
      <c r="D36" s="230"/>
      <c r="E36" s="231">
        <v>0.41666666666666669</v>
      </c>
      <c r="F36" s="231"/>
      <c r="G36" s="232"/>
      <c r="H36" s="233">
        <v>0.83333333333333337</v>
      </c>
      <c r="I36" s="234"/>
      <c r="J36" s="235"/>
      <c r="K36" s="236" t="s">
        <v>92</v>
      </c>
      <c r="L36" s="237"/>
      <c r="M36" s="237"/>
      <c r="N36" s="238"/>
      <c r="O36" s="239" t="s">
        <v>309</v>
      </c>
      <c r="P36" s="234"/>
      <c r="Q36" s="235"/>
      <c r="R36" s="97">
        <v>1</v>
      </c>
      <c r="S36" s="98" t="s">
        <v>310</v>
      </c>
      <c r="T36" s="162"/>
      <c r="U36" s="162"/>
      <c r="V36" s="162"/>
      <c r="W36" s="162"/>
      <c r="X36" s="162"/>
      <c r="Y36" s="162"/>
      <c r="Z36" s="162"/>
      <c r="AA36" s="162"/>
      <c r="AB36" s="240"/>
      <c r="AC36" s="241"/>
    </row>
    <row r="37" spans="1:29" s="52" customFormat="1" ht="19.5" customHeight="1">
      <c r="A37" s="134">
        <v>16</v>
      </c>
      <c r="B37" s="135">
        <v>8</v>
      </c>
      <c r="C37" s="229"/>
      <c r="D37" s="230"/>
      <c r="E37" s="231" t="s">
        <v>93</v>
      </c>
      <c r="F37" s="231"/>
      <c r="G37" s="232"/>
      <c r="H37" s="233" t="s">
        <v>93</v>
      </c>
      <c r="I37" s="234"/>
      <c r="J37" s="235"/>
      <c r="K37" s="236" t="s">
        <v>92</v>
      </c>
      <c r="L37" s="237"/>
      <c r="M37" s="237"/>
      <c r="N37" s="238"/>
      <c r="O37" s="239" t="s">
        <v>86</v>
      </c>
      <c r="P37" s="234"/>
      <c r="Q37" s="235"/>
      <c r="R37" s="97"/>
      <c r="S37" s="98" t="s">
        <v>286</v>
      </c>
      <c r="T37" s="162"/>
      <c r="U37" s="162"/>
      <c r="V37" s="162"/>
      <c r="W37" s="162"/>
      <c r="X37" s="162"/>
      <c r="Y37" s="162"/>
      <c r="Z37" s="162"/>
      <c r="AA37" s="162"/>
      <c r="AB37" s="240"/>
      <c r="AC37" s="241"/>
    </row>
    <row r="38" spans="1:29" s="52" customFormat="1" ht="19.5" customHeight="1">
      <c r="A38" s="134">
        <v>17</v>
      </c>
      <c r="B38" s="135">
        <v>2</v>
      </c>
      <c r="C38" s="229"/>
      <c r="D38" s="230"/>
      <c r="E38" s="231" t="s">
        <v>93</v>
      </c>
      <c r="F38" s="231"/>
      <c r="G38" s="232"/>
      <c r="H38" s="233" t="s">
        <v>93</v>
      </c>
      <c r="I38" s="234"/>
      <c r="J38" s="235"/>
      <c r="K38" s="236" t="s">
        <v>92</v>
      </c>
      <c r="L38" s="237"/>
      <c r="M38" s="237"/>
      <c r="N38" s="238"/>
      <c r="O38" s="239" t="s">
        <v>86</v>
      </c>
      <c r="P38" s="234"/>
      <c r="Q38" s="235"/>
      <c r="R38" s="97"/>
      <c r="S38" s="98" t="s">
        <v>290</v>
      </c>
      <c r="T38" s="162"/>
      <c r="U38" s="162"/>
      <c r="V38" s="162"/>
      <c r="W38" s="162"/>
      <c r="X38" s="162"/>
      <c r="Y38" s="162"/>
      <c r="Z38" s="162"/>
      <c r="AA38" s="162"/>
      <c r="AB38" s="240"/>
      <c r="AC38" s="241"/>
    </row>
    <row r="39" spans="1:29" s="52" customFormat="1" ht="19.5" customHeight="1">
      <c r="A39" s="95">
        <v>18</v>
      </c>
      <c r="B39" s="96">
        <v>3</v>
      </c>
      <c r="C39" s="229" t="s">
        <v>279</v>
      </c>
      <c r="D39" s="230"/>
      <c r="E39" s="231" t="s">
        <v>93</v>
      </c>
      <c r="F39" s="231"/>
      <c r="G39" s="232"/>
      <c r="H39" s="233" t="s">
        <v>93</v>
      </c>
      <c r="I39" s="234"/>
      <c r="J39" s="235"/>
      <c r="K39" s="236" t="s">
        <v>92</v>
      </c>
      <c r="L39" s="237"/>
      <c r="M39" s="237"/>
      <c r="N39" s="238"/>
      <c r="O39" s="239" t="s">
        <v>86</v>
      </c>
      <c r="P39" s="234"/>
      <c r="Q39" s="235"/>
      <c r="R39" s="97"/>
      <c r="S39" s="98" t="s">
        <v>283</v>
      </c>
      <c r="T39" s="162"/>
      <c r="U39" s="162"/>
      <c r="V39" s="162"/>
      <c r="W39" s="162"/>
      <c r="X39" s="162"/>
      <c r="Y39" s="162"/>
      <c r="Z39" s="162"/>
      <c r="AA39" s="162"/>
      <c r="AB39" s="240"/>
      <c r="AC39" s="241"/>
    </row>
    <row r="40" spans="1:29" s="52" customFormat="1" ht="19.5" customHeight="1">
      <c r="A40" s="95">
        <v>19</v>
      </c>
      <c r="B40" s="96">
        <v>4</v>
      </c>
      <c r="C40" s="229"/>
      <c r="D40" s="230"/>
      <c r="E40" s="231" t="s">
        <v>287</v>
      </c>
      <c r="F40" s="231"/>
      <c r="G40" s="232"/>
      <c r="H40" s="233">
        <v>0.83333333333333337</v>
      </c>
      <c r="I40" s="234"/>
      <c r="J40" s="235"/>
      <c r="K40" s="236" t="s">
        <v>92</v>
      </c>
      <c r="L40" s="237"/>
      <c r="M40" s="237"/>
      <c r="N40" s="238"/>
      <c r="O40" s="239" t="s">
        <v>308</v>
      </c>
      <c r="P40" s="234"/>
      <c r="Q40" s="235"/>
      <c r="R40" s="97">
        <v>1</v>
      </c>
      <c r="S40" s="98" t="s">
        <v>286</v>
      </c>
      <c r="T40" s="162"/>
      <c r="U40" s="162"/>
      <c r="V40" s="162"/>
      <c r="W40" s="162"/>
      <c r="X40" s="162"/>
      <c r="Y40" s="162"/>
      <c r="Z40" s="162"/>
      <c r="AA40" s="162"/>
      <c r="AB40" s="240"/>
      <c r="AC40" s="241"/>
    </row>
    <row r="41" spans="1:29" s="52" customFormat="1" ht="19.5" customHeight="1">
      <c r="A41" s="160">
        <v>20</v>
      </c>
      <c r="B41" s="161">
        <v>5</v>
      </c>
      <c r="C41" s="244" t="s">
        <v>279</v>
      </c>
      <c r="D41" s="245"/>
      <c r="E41" s="246" t="s">
        <v>93</v>
      </c>
      <c r="F41" s="246"/>
      <c r="G41" s="247"/>
      <c r="H41" s="248" t="s">
        <v>93</v>
      </c>
      <c r="I41" s="249"/>
      <c r="J41" s="250"/>
      <c r="K41" s="251" t="s">
        <v>92</v>
      </c>
      <c r="L41" s="249"/>
      <c r="M41" s="249"/>
      <c r="N41" s="250"/>
      <c r="O41" s="251" t="s">
        <v>86</v>
      </c>
      <c r="P41" s="249"/>
      <c r="Q41" s="250"/>
      <c r="R41" s="99"/>
      <c r="S41" s="100" t="s">
        <v>283</v>
      </c>
      <c r="T41" s="163"/>
      <c r="U41" s="163"/>
      <c r="V41" s="163"/>
      <c r="W41" s="163"/>
      <c r="X41" s="163"/>
      <c r="Y41" s="163"/>
      <c r="Z41" s="163"/>
      <c r="AA41" s="163"/>
      <c r="AB41" s="252"/>
      <c r="AC41" s="253"/>
    </row>
    <row r="42" spans="1:29" s="52" customFormat="1" ht="12">
      <c r="A42" s="101" t="s">
        <v>87</v>
      </c>
    </row>
    <row r="43" spans="1:29" s="52" customFormat="1" ht="12">
      <c r="A43" s="101" t="s">
        <v>88</v>
      </c>
    </row>
    <row r="44" spans="1:29" s="52" customFormat="1" ht="12">
      <c r="A44" s="101" t="s">
        <v>89</v>
      </c>
    </row>
    <row r="45" spans="1:29" s="52" customFormat="1" ht="12">
      <c r="A45" s="101" t="s">
        <v>90</v>
      </c>
    </row>
    <row r="46" spans="1:29" s="52" customFormat="1" ht="12"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N46" s="102"/>
      <c r="O46" s="102" t="s">
        <v>91</v>
      </c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  <c r="AC46" s="103" t="s">
        <v>262</v>
      </c>
    </row>
    <row r="47" spans="1:29" s="132" customFormat="1">
      <c r="A47" s="52"/>
      <c r="B47" s="52"/>
      <c r="C47" s="52"/>
      <c r="D47" s="52"/>
      <c r="E47" s="52"/>
      <c r="F47" s="52"/>
      <c r="G47" s="52"/>
      <c r="H47" s="104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</row>
    <row r="48" spans="1:29" s="132" customFormat="1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</row>
    <row r="49" spans="1:29" s="132" customFormat="1" ht="13.15" customHeight="1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</row>
    <row r="50" spans="1:29" s="132" customFormat="1" ht="13.15" customHeight="1">
      <c r="A50" s="73" t="s">
        <v>120</v>
      </c>
      <c r="B50" s="105" t="s">
        <v>106</v>
      </c>
      <c r="C50" s="266"/>
      <c r="D50" s="267"/>
      <c r="E50" s="268" t="s">
        <v>93</v>
      </c>
      <c r="F50" s="268"/>
      <c r="G50" s="269"/>
      <c r="H50" s="257" t="s">
        <v>93</v>
      </c>
      <c r="I50" s="258"/>
      <c r="J50" s="259"/>
      <c r="K50" s="260" t="s">
        <v>92</v>
      </c>
      <c r="L50" s="261"/>
      <c r="M50" s="261"/>
      <c r="N50" s="262"/>
      <c r="O50" s="257" t="s">
        <v>86</v>
      </c>
      <c r="P50" s="258"/>
      <c r="Q50" s="259"/>
      <c r="R50" s="107"/>
      <c r="S50" s="108" t="s">
        <v>121</v>
      </c>
      <c r="T50" s="106"/>
      <c r="U50" s="106"/>
      <c r="V50" s="106"/>
      <c r="W50" s="106"/>
      <c r="X50" s="106"/>
      <c r="Y50" s="106"/>
      <c r="Z50" s="106"/>
      <c r="AA50" s="106"/>
      <c r="AB50" s="242"/>
      <c r="AC50" s="243"/>
    </row>
    <row r="51" spans="1:29" s="132" customFormat="1" ht="13.15" customHeight="1">
      <c r="A51" s="52"/>
      <c r="B51" s="52"/>
      <c r="C51" s="52"/>
      <c r="D51" s="52"/>
      <c r="E51" s="104"/>
      <c r="F51" s="52"/>
      <c r="G51" s="52"/>
      <c r="H51" s="104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</row>
    <row r="52" spans="1:29" s="132" customFormat="1" ht="19.5" customHeight="1">
      <c r="A52" s="186" t="s">
        <v>83</v>
      </c>
      <c r="B52" s="188" t="s">
        <v>70</v>
      </c>
      <c r="C52" s="189"/>
      <c r="D52" s="189"/>
      <c r="E52" s="189"/>
      <c r="F52" s="189"/>
      <c r="G52" s="189"/>
      <c r="H52" s="189"/>
      <c r="I52" s="190"/>
      <c r="J52" s="194" t="s">
        <v>71</v>
      </c>
      <c r="K52" s="195"/>
      <c r="L52" s="195"/>
      <c r="M52" s="196"/>
      <c r="N52" s="200" t="s">
        <v>72</v>
      </c>
      <c r="O52" s="201"/>
      <c r="P52" s="201"/>
      <c r="Q52" s="201"/>
      <c r="R52" s="201"/>
      <c r="S52" s="201"/>
      <c r="T52" s="201"/>
      <c r="U52" s="201"/>
      <c r="V52" s="202"/>
      <c r="W52" s="52"/>
      <c r="X52" s="52"/>
      <c r="Y52" s="52"/>
      <c r="Z52" s="52"/>
      <c r="AA52" s="52"/>
      <c r="AB52" s="52"/>
      <c r="AC52" s="52"/>
    </row>
    <row r="53" spans="1:29" s="132" customFormat="1" ht="13.15" customHeight="1">
      <c r="A53" s="187"/>
      <c r="B53" s="191"/>
      <c r="C53" s="192"/>
      <c r="D53" s="192"/>
      <c r="E53" s="192"/>
      <c r="F53" s="192"/>
      <c r="G53" s="192"/>
      <c r="H53" s="192"/>
      <c r="I53" s="193"/>
      <c r="J53" s="197"/>
      <c r="K53" s="198"/>
      <c r="L53" s="198"/>
      <c r="M53" s="199"/>
      <c r="N53" s="205" t="s">
        <v>75</v>
      </c>
      <c r="O53" s="206"/>
      <c r="P53" s="207"/>
      <c r="Q53" s="205" t="s">
        <v>76</v>
      </c>
      <c r="R53" s="206"/>
      <c r="S53" s="207"/>
      <c r="T53" s="205" t="s">
        <v>77</v>
      </c>
      <c r="U53" s="206"/>
      <c r="V53" s="208"/>
      <c r="W53" s="52"/>
      <c r="X53" s="52"/>
      <c r="Y53" s="52"/>
      <c r="Z53" s="52"/>
      <c r="AA53" s="52"/>
      <c r="AB53" s="52"/>
      <c r="AC53" s="52"/>
    </row>
    <row r="54" spans="1:29" s="132" customFormat="1" ht="13.15" customHeight="1">
      <c r="A54" s="73"/>
      <c r="B54" s="145"/>
      <c r="C54" s="74"/>
      <c r="D54" s="74"/>
      <c r="E54" s="74"/>
      <c r="F54" s="74"/>
      <c r="G54" s="74"/>
      <c r="H54" s="75"/>
      <c r="I54" s="76"/>
      <c r="J54" s="254"/>
      <c r="K54" s="255"/>
      <c r="L54" s="255"/>
      <c r="M54" s="256"/>
      <c r="N54" s="213" t="s">
        <v>193</v>
      </c>
      <c r="O54" s="213"/>
      <c r="P54" s="213"/>
      <c r="Q54" s="213" t="s">
        <v>193</v>
      </c>
      <c r="R54" s="213"/>
      <c r="S54" s="213"/>
      <c r="T54" s="213" t="s">
        <v>193</v>
      </c>
      <c r="U54" s="213"/>
      <c r="V54" s="214"/>
      <c r="W54" s="52"/>
      <c r="X54" s="52"/>
      <c r="Y54" s="52"/>
      <c r="Z54" s="52"/>
      <c r="AA54" s="52"/>
      <c r="AB54" s="52"/>
      <c r="AC54" s="52"/>
    </row>
    <row r="55" spans="1:29" s="132" customFormat="1" ht="13.15" customHeight="1">
      <c r="A55" s="81"/>
      <c r="B55" s="146"/>
      <c r="C55" s="82"/>
      <c r="D55" s="82"/>
      <c r="E55" s="82"/>
      <c r="F55" s="82"/>
      <c r="G55" s="82"/>
      <c r="H55" s="83"/>
      <c r="I55" s="84"/>
      <c r="J55" s="263"/>
      <c r="K55" s="264"/>
      <c r="L55" s="264"/>
      <c r="M55" s="265"/>
      <c r="N55" s="218" t="s">
        <v>193</v>
      </c>
      <c r="O55" s="218"/>
      <c r="P55" s="218"/>
      <c r="Q55" s="218" t="s">
        <v>193</v>
      </c>
      <c r="R55" s="218"/>
      <c r="S55" s="218"/>
      <c r="T55" s="218" t="s">
        <v>193</v>
      </c>
      <c r="U55" s="218"/>
      <c r="V55" s="219"/>
      <c r="W55" s="52"/>
      <c r="X55" s="52"/>
      <c r="Y55" s="52"/>
      <c r="Z55" s="52"/>
      <c r="AA55" s="52"/>
      <c r="AB55" s="52"/>
      <c r="AC55" s="52"/>
    </row>
    <row r="56" spans="1:29" s="132" customFormat="1" ht="13.15" customHeight="1">
      <c r="A56" s="223" t="s">
        <v>78</v>
      </c>
      <c r="B56" s="224"/>
      <c r="C56" s="224"/>
      <c r="D56" s="224"/>
      <c r="E56" s="224"/>
      <c r="F56" s="224"/>
      <c r="G56" s="224"/>
      <c r="H56" s="224"/>
      <c r="I56" s="224"/>
      <c r="J56" s="224"/>
      <c r="K56" s="224"/>
      <c r="L56" s="224"/>
      <c r="M56" s="225"/>
      <c r="N56" s="226" t="s">
        <v>79</v>
      </c>
      <c r="O56" s="226"/>
      <c r="P56" s="226"/>
      <c r="Q56" s="226" t="s">
        <v>79</v>
      </c>
      <c r="R56" s="226"/>
      <c r="S56" s="226"/>
      <c r="T56" s="226" t="s">
        <v>79</v>
      </c>
      <c r="U56" s="226"/>
      <c r="V56" s="227"/>
      <c r="W56" s="52"/>
      <c r="X56" s="52"/>
      <c r="Y56" s="52"/>
      <c r="Z56" s="52"/>
      <c r="AA56" s="52"/>
      <c r="AB56" s="52"/>
      <c r="AC56" s="52"/>
    </row>
    <row r="57" spans="1:29">
      <c r="E57" s="104"/>
      <c r="H57" s="104"/>
    </row>
    <row r="58" spans="1:29">
      <c r="E58" s="104"/>
      <c r="H58" s="104"/>
    </row>
    <row r="59" spans="1:29">
      <c r="E59" s="104"/>
      <c r="H59" s="104"/>
    </row>
    <row r="60" spans="1:29">
      <c r="E60" s="104"/>
      <c r="H60" s="104"/>
    </row>
    <row r="61" spans="1:29">
      <c r="E61" s="104"/>
      <c r="H61" s="104"/>
    </row>
  </sheetData>
  <sheetProtection password="CAEC" sheet="1" objects="1" scenarios="1"/>
  <mergeCells count="242">
    <mergeCell ref="A56:M56"/>
    <mergeCell ref="N56:P56"/>
    <mergeCell ref="Q56:S56"/>
    <mergeCell ref="T56:V56"/>
    <mergeCell ref="J54:M54"/>
    <mergeCell ref="N54:P54"/>
    <mergeCell ref="Q54:S54"/>
    <mergeCell ref="T54:V54"/>
    <mergeCell ref="H50:J50"/>
    <mergeCell ref="K50:N50"/>
    <mergeCell ref="J55:M55"/>
    <mergeCell ref="N55:P55"/>
    <mergeCell ref="Q55:S55"/>
    <mergeCell ref="T55:V55"/>
    <mergeCell ref="O50:Q50"/>
    <mergeCell ref="A52:A53"/>
    <mergeCell ref="B52:I53"/>
    <mergeCell ref="J52:M53"/>
    <mergeCell ref="N52:V52"/>
    <mergeCell ref="N53:P53"/>
    <mergeCell ref="Q53:S53"/>
    <mergeCell ref="T53:V53"/>
    <mergeCell ref="C50:D50"/>
    <mergeCell ref="E50:G50"/>
    <mergeCell ref="O40:Q40"/>
    <mergeCell ref="K40:N40"/>
    <mergeCell ref="O39:Q39"/>
    <mergeCell ref="AB50:AC50"/>
    <mergeCell ref="AB40:AC40"/>
    <mergeCell ref="C41:D41"/>
    <mergeCell ref="E41:G41"/>
    <mergeCell ref="H41:J41"/>
    <mergeCell ref="K41:N41"/>
    <mergeCell ref="O41:Q41"/>
    <mergeCell ref="AB41:AC41"/>
    <mergeCell ref="C40:D40"/>
    <mergeCell ref="E40:G40"/>
    <mergeCell ref="H40:J40"/>
    <mergeCell ref="AB39:AC39"/>
    <mergeCell ref="C39:D39"/>
    <mergeCell ref="E39:G39"/>
    <mergeCell ref="H39:J39"/>
    <mergeCell ref="K39:N39"/>
    <mergeCell ref="C36:D36"/>
    <mergeCell ref="E36:G36"/>
    <mergeCell ref="H36:J36"/>
    <mergeCell ref="K36:N36"/>
    <mergeCell ref="O38:Q38"/>
    <mergeCell ref="AB38:AC38"/>
    <mergeCell ref="C37:D37"/>
    <mergeCell ref="E37:G37"/>
    <mergeCell ref="H38:J38"/>
    <mergeCell ref="K38:N38"/>
    <mergeCell ref="O36:Q36"/>
    <mergeCell ref="AB36:AC36"/>
    <mergeCell ref="O37:Q37"/>
    <mergeCell ref="AB37:AC37"/>
    <mergeCell ref="H37:J37"/>
    <mergeCell ref="K37:N37"/>
    <mergeCell ref="C38:D38"/>
    <mergeCell ref="E38:G38"/>
    <mergeCell ref="O35:Q35"/>
    <mergeCell ref="AB35:AC35"/>
    <mergeCell ref="C34:D34"/>
    <mergeCell ref="E34:G34"/>
    <mergeCell ref="C35:D35"/>
    <mergeCell ref="E35:G35"/>
    <mergeCell ref="H35:J35"/>
    <mergeCell ref="K35:N35"/>
    <mergeCell ref="H34:J34"/>
    <mergeCell ref="K34:N34"/>
    <mergeCell ref="C32:D32"/>
    <mergeCell ref="E32:G32"/>
    <mergeCell ref="H32:J32"/>
    <mergeCell ref="K32:N32"/>
    <mergeCell ref="O34:Q34"/>
    <mergeCell ref="AB34:AC34"/>
    <mergeCell ref="C33:D33"/>
    <mergeCell ref="E33:G33"/>
    <mergeCell ref="H33:J33"/>
    <mergeCell ref="K33:N33"/>
    <mergeCell ref="O32:Q32"/>
    <mergeCell ref="AB32:AC32"/>
    <mergeCell ref="O33:Q33"/>
    <mergeCell ref="AB33:AC33"/>
    <mergeCell ref="O31:Q31"/>
    <mergeCell ref="AB31:AC31"/>
    <mergeCell ref="C30:D30"/>
    <mergeCell ref="E30:G30"/>
    <mergeCell ref="C31:D31"/>
    <mergeCell ref="E31:G31"/>
    <mergeCell ref="H31:J31"/>
    <mergeCell ref="K31:N31"/>
    <mergeCell ref="H30:J30"/>
    <mergeCell ref="K30:N30"/>
    <mergeCell ref="C28:D28"/>
    <mergeCell ref="E28:G28"/>
    <mergeCell ref="H28:J28"/>
    <mergeCell ref="K28:N28"/>
    <mergeCell ref="O30:Q30"/>
    <mergeCell ref="AB30:AC30"/>
    <mergeCell ref="C29:D29"/>
    <mergeCell ref="E29:G29"/>
    <mergeCell ref="H29:J29"/>
    <mergeCell ref="K29:N29"/>
    <mergeCell ref="O28:Q28"/>
    <mergeCell ref="AB28:AC28"/>
    <mergeCell ref="O29:Q29"/>
    <mergeCell ref="AB29:AC29"/>
    <mergeCell ref="O27:Q27"/>
    <mergeCell ref="AB27:AC27"/>
    <mergeCell ref="C26:D26"/>
    <mergeCell ref="E26:G26"/>
    <mergeCell ref="C27:D27"/>
    <mergeCell ref="E27:G27"/>
    <mergeCell ref="H27:J27"/>
    <mergeCell ref="K27:N27"/>
    <mergeCell ref="H26:J26"/>
    <mergeCell ref="K26:N26"/>
    <mergeCell ref="C24:D24"/>
    <mergeCell ref="E24:G24"/>
    <mergeCell ref="H24:J24"/>
    <mergeCell ref="K24:N24"/>
    <mergeCell ref="O26:Q26"/>
    <mergeCell ref="AB26:AC26"/>
    <mergeCell ref="C25:D25"/>
    <mergeCell ref="E25:G25"/>
    <mergeCell ref="H25:J25"/>
    <mergeCell ref="K25:N25"/>
    <mergeCell ref="O24:Q24"/>
    <mergeCell ref="AB24:AC24"/>
    <mergeCell ref="O25:Q25"/>
    <mergeCell ref="AB25:AC25"/>
    <mergeCell ref="O23:Q23"/>
    <mergeCell ref="AB23:AC23"/>
    <mergeCell ref="C22:D22"/>
    <mergeCell ref="E22:G22"/>
    <mergeCell ref="C23:D23"/>
    <mergeCell ref="E23:G23"/>
    <mergeCell ref="H23:J23"/>
    <mergeCell ref="K23:N23"/>
    <mergeCell ref="H22:J22"/>
    <mergeCell ref="K22:N22"/>
    <mergeCell ref="C20:D20"/>
    <mergeCell ref="E20:G20"/>
    <mergeCell ref="H20:J20"/>
    <mergeCell ref="K20:N20"/>
    <mergeCell ref="O22:Q22"/>
    <mergeCell ref="AB22:AC22"/>
    <mergeCell ref="C21:D21"/>
    <mergeCell ref="E21:G21"/>
    <mergeCell ref="H21:J21"/>
    <mergeCell ref="K21:N21"/>
    <mergeCell ref="O20:Q20"/>
    <mergeCell ref="AB20:AC20"/>
    <mergeCell ref="O21:Q21"/>
    <mergeCell ref="AB21:AC21"/>
    <mergeCell ref="O19:Q19"/>
    <mergeCell ref="AB19:AC19"/>
    <mergeCell ref="C18:D18"/>
    <mergeCell ref="E18:G18"/>
    <mergeCell ref="C19:D19"/>
    <mergeCell ref="E19:G19"/>
    <mergeCell ref="H19:J19"/>
    <mergeCell ref="K19:N19"/>
    <mergeCell ref="H18:J18"/>
    <mergeCell ref="K18:N18"/>
    <mergeCell ref="C16:D16"/>
    <mergeCell ref="E16:G16"/>
    <mergeCell ref="H16:J16"/>
    <mergeCell ref="K16:N16"/>
    <mergeCell ref="O18:Q18"/>
    <mergeCell ref="AB18:AC18"/>
    <mergeCell ref="C17:D17"/>
    <mergeCell ref="E17:G17"/>
    <mergeCell ref="H17:J17"/>
    <mergeCell ref="K17:N17"/>
    <mergeCell ref="O16:Q16"/>
    <mergeCell ref="AB16:AC16"/>
    <mergeCell ref="O17:Q17"/>
    <mergeCell ref="AB17:AC17"/>
    <mergeCell ref="O15:Q15"/>
    <mergeCell ref="AB15:AC15"/>
    <mergeCell ref="C14:D14"/>
    <mergeCell ref="E14:G14"/>
    <mergeCell ref="C15:D15"/>
    <mergeCell ref="E15:G15"/>
    <mergeCell ref="H15:J15"/>
    <mergeCell ref="K15:N15"/>
    <mergeCell ref="H14:J14"/>
    <mergeCell ref="K14:N14"/>
    <mergeCell ref="C12:D12"/>
    <mergeCell ref="E12:G12"/>
    <mergeCell ref="H12:J12"/>
    <mergeCell ref="K12:N12"/>
    <mergeCell ref="O14:Q14"/>
    <mergeCell ref="AB14:AC14"/>
    <mergeCell ref="C13:D13"/>
    <mergeCell ref="E13:G13"/>
    <mergeCell ref="H13:J13"/>
    <mergeCell ref="K13:N13"/>
    <mergeCell ref="O12:Q12"/>
    <mergeCell ref="AB12:AC12"/>
    <mergeCell ref="O13:Q13"/>
    <mergeCell ref="AB13:AC13"/>
    <mergeCell ref="K10:N10"/>
    <mergeCell ref="A7:M7"/>
    <mergeCell ref="N7:P7"/>
    <mergeCell ref="O10:Q10"/>
    <mergeCell ref="Q7:S7"/>
    <mergeCell ref="S10:AA10"/>
    <mergeCell ref="T7:V7"/>
    <mergeCell ref="AB10:AC10"/>
    <mergeCell ref="C11:D11"/>
    <mergeCell ref="E11:G11"/>
    <mergeCell ref="H11:J11"/>
    <mergeCell ref="K11:N11"/>
    <mergeCell ref="O11:Q11"/>
    <mergeCell ref="AB11:AC11"/>
    <mergeCell ref="C10:D10"/>
    <mergeCell ref="E10:G10"/>
    <mergeCell ref="H10:J10"/>
    <mergeCell ref="B5:I5"/>
    <mergeCell ref="B6:I6"/>
    <mergeCell ref="A1:AC1"/>
    <mergeCell ref="A3:A4"/>
    <mergeCell ref="B3:I4"/>
    <mergeCell ref="J3:M4"/>
    <mergeCell ref="N3:V3"/>
    <mergeCell ref="X3:Z4"/>
    <mergeCell ref="AA3:AC4"/>
    <mergeCell ref="N4:P4"/>
    <mergeCell ref="Q4:S4"/>
    <mergeCell ref="T4:V4"/>
    <mergeCell ref="J5:M5"/>
    <mergeCell ref="N5:P5"/>
    <mergeCell ref="Q5:S5"/>
    <mergeCell ref="T5:V5"/>
    <mergeCell ref="J6:M6"/>
    <mergeCell ref="N6:P6"/>
    <mergeCell ref="Q6:S6"/>
    <mergeCell ref="T6:V6"/>
  </mergeCells>
  <phoneticPr fontId="1"/>
  <pageMargins left="0.81" right="0" top="0.55118110236220474" bottom="0.23622047244094491" header="0.9055118110236221" footer="0.31496062992125984"/>
  <pageSetup paperSize="9" orientation="portrait" horizontalDpi="300" verticalDpi="300" r:id="rId1"/>
  <headerFooter alignWithMargins="0"/>
  <rowBreaks count="1" manualBreakCount="1">
    <brk id="46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>
    <pageSetUpPr autoPageBreaks="0" fitToPage="1"/>
  </sheetPr>
  <dimension ref="A1:AT51"/>
  <sheetViews>
    <sheetView showGridLines="0" tabSelected="1" showOutlineSymbols="0" topLeftCell="C1" zoomScale="95" workbookViewId="0">
      <selection activeCell="J15" sqref="J15"/>
    </sheetView>
  </sheetViews>
  <sheetFormatPr defaultColWidth="0" defaultRowHeight="9.9499999999999993" customHeight="1" zeroHeight="1"/>
  <cols>
    <col min="1" max="1" width="2.625" style="51" hidden="1" customWidth="1"/>
    <col min="2" max="2" width="2.25" style="51" hidden="1" customWidth="1"/>
    <col min="3" max="3" width="2.625" style="51" customWidth="1"/>
    <col min="4" max="4" width="2.625" style="51" hidden="1" customWidth="1"/>
    <col min="5" max="5" width="4" style="8" bestFit="1" customWidth="1"/>
    <col min="6" max="6" width="3.75" style="8" bestFit="1" customWidth="1"/>
    <col min="7" max="7" width="15.625" style="8" hidden="1" customWidth="1"/>
    <col min="8" max="8" width="8.625" style="8" customWidth="1"/>
    <col min="9" max="10" width="6.625" style="8" customWidth="1"/>
    <col min="11" max="11" width="6" style="8" customWidth="1"/>
    <col min="12" max="12" width="2.125" style="8" customWidth="1"/>
    <col min="13" max="13" width="6" style="8" customWidth="1"/>
    <col min="14" max="14" width="4.875" style="9" bestFit="1" customWidth="1"/>
    <col min="15" max="15" width="9.625" style="8" bestFit="1" customWidth="1"/>
    <col min="16" max="16" width="17.5" style="9" customWidth="1"/>
    <col min="17" max="18" width="7" style="9" customWidth="1"/>
    <col min="19" max="19" width="4.375" style="9" hidden="1" customWidth="1"/>
    <col min="20" max="20" width="4.75" style="9" hidden="1" customWidth="1"/>
    <col min="21" max="21" width="4.375" style="9" hidden="1" customWidth="1"/>
    <col min="22" max="22" width="4.75" style="9" hidden="1" customWidth="1"/>
    <col min="23" max="23" width="7" style="10" customWidth="1"/>
    <col min="24" max="24" width="7" style="9" hidden="1" customWidth="1"/>
    <col min="25" max="25" width="4.375" style="9" hidden="1" customWidth="1"/>
    <col min="26" max="26" width="4.75" style="9" hidden="1" customWidth="1"/>
    <col min="27" max="27" width="4.375" style="9" hidden="1" customWidth="1"/>
    <col min="28" max="28" width="4.75" style="9" hidden="1" customWidth="1"/>
    <col min="29" max="29" width="6" style="9" hidden="1" customWidth="1"/>
    <col min="30" max="30" width="6.5" style="9" hidden="1" customWidth="1"/>
    <col min="31" max="31" width="6.25" style="9" hidden="1" customWidth="1"/>
    <col min="32" max="32" width="6" style="9" hidden="1" customWidth="1"/>
    <col min="33" max="33" width="6.5" style="9" hidden="1" customWidth="1"/>
    <col min="34" max="34" width="6.125" style="9" hidden="1" customWidth="1"/>
    <col min="35" max="35" width="6.125" style="9" customWidth="1"/>
    <col min="36" max="36" width="6.125" style="9" hidden="1" customWidth="1"/>
    <col min="37" max="38" width="6.125" style="9" customWidth="1"/>
    <col min="39" max="39" width="8" style="9" customWidth="1"/>
    <col min="40" max="45" width="9" style="9" hidden="1" customWidth="1"/>
    <col min="46" max="46" width="53.875" style="9" bestFit="1" customWidth="1"/>
    <col min="47" max="16384" width="0" style="9" hidden="1"/>
  </cols>
  <sheetData>
    <row r="1" spans="1:46" ht="8.1" customHeight="1"/>
    <row r="2" spans="1:46" ht="13.5">
      <c r="E2" s="280" t="s">
        <v>250</v>
      </c>
      <c r="F2" s="281"/>
      <c r="H2" s="273" t="s">
        <v>182</v>
      </c>
      <c r="I2" s="273"/>
      <c r="J2" s="273"/>
      <c r="K2" s="273"/>
      <c r="L2" s="273"/>
      <c r="M2" s="273"/>
      <c r="N2" s="280" t="s">
        <v>183</v>
      </c>
      <c r="O2" s="281"/>
    </row>
    <row r="3" spans="1:46" ht="13.5">
      <c r="E3" s="282">
        <v>1</v>
      </c>
      <c r="F3" s="283"/>
      <c r="G3" s="155"/>
      <c r="H3" s="270" t="s">
        <v>271</v>
      </c>
      <c r="I3" s="270"/>
      <c r="J3" s="270"/>
      <c r="K3" s="270"/>
      <c r="L3" s="270"/>
      <c r="M3" s="270"/>
      <c r="N3" s="271" t="s">
        <v>269</v>
      </c>
      <c r="O3" s="272"/>
    </row>
    <row r="4" spans="1:46" ht="13.5">
      <c r="E4" s="282">
        <v>2</v>
      </c>
      <c r="F4" s="283"/>
      <c r="G4" s="155"/>
      <c r="H4" s="270"/>
      <c r="I4" s="270"/>
      <c r="J4" s="270"/>
      <c r="K4" s="270"/>
      <c r="L4" s="270"/>
      <c r="M4" s="270"/>
      <c r="N4" s="271"/>
      <c r="O4" s="272"/>
    </row>
    <row r="5" spans="1:46" ht="13.5">
      <c r="E5" s="282">
        <v>3</v>
      </c>
      <c r="F5" s="283"/>
      <c r="G5" s="155"/>
      <c r="H5" s="270"/>
      <c r="I5" s="270"/>
      <c r="J5" s="270"/>
      <c r="K5" s="270"/>
      <c r="L5" s="270"/>
      <c r="M5" s="270"/>
      <c r="N5" s="271"/>
      <c r="O5" s="272"/>
    </row>
    <row r="6" spans="1:46" ht="13.5">
      <c r="E6" s="282">
        <v>4</v>
      </c>
      <c r="F6" s="283"/>
      <c r="G6" s="155"/>
      <c r="H6" s="270"/>
      <c r="I6" s="270"/>
      <c r="J6" s="270"/>
      <c r="K6" s="270"/>
      <c r="L6" s="270"/>
      <c r="M6" s="270"/>
      <c r="N6" s="271"/>
      <c r="O6" s="272"/>
    </row>
    <row r="7" spans="1:46" ht="8.1" customHeight="1"/>
    <row r="8" spans="1:46" ht="14.25">
      <c r="C8" s="53"/>
      <c r="E8" s="284">
        <v>2020</v>
      </c>
      <c r="F8" s="284"/>
      <c r="H8" s="10" t="s">
        <v>0</v>
      </c>
      <c r="I8" s="113">
        <v>5</v>
      </c>
      <c r="J8" s="11" t="s">
        <v>1</v>
      </c>
      <c r="M8" s="8" t="s">
        <v>94</v>
      </c>
      <c r="N8" s="285" t="s">
        <v>266</v>
      </c>
      <c r="O8" s="285"/>
      <c r="P8" s="285"/>
      <c r="AI8" s="47" t="s">
        <v>32</v>
      </c>
      <c r="AJ8" s="47"/>
      <c r="AK8" s="279" t="s">
        <v>267</v>
      </c>
      <c r="AL8" s="279"/>
    </row>
    <row r="9" spans="1:46" ht="8.1" customHeight="1"/>
    <row r="10" spans="1:46" ht="13.5">
      <c r="A10" s="54" t="s">
        <v>95</v>
      </c>
      <c r="B10" s="54" t="s">
        <v>96</v>
      </c>
      <c r="C10" s="54"/>
      <c r="D10" s="54" t="s">
        <v>97</v>
      </c>
      <c r="E10" s="40" t="s">
        <v>2</v>
      </c>
      <c r="F10" s="40" t="s">
        <v>238</v>
      </c>
      <c r="G10" s="40" t="s">
        <v>66</v>
      </c>
      <c r="H10" s="40" t="s">
        <v>6</v>
      </c>
      <c r="I10" s="40" t="s">
        <v>252</v>
      </c>
      <c r="J10" s="40" t="s">
        <v>253</v>
      </c>
      <c r="K10" s="273" t="s">
        <v>7</v>
      </c>
      <c r="L10" s="273"/>
      <c r="M10" s="273"/>
      <c r="N10" s="114" t="s">
        <v>254</v>
      </c>
      <c r="O10" s="40" t="s">
        <v>37</v>
      </c>
      <c r="P10" s="40" t="s">
        <v>38</v>
      </c>
      <c r="Q10" s="40" t="s">
        <v>3</v>
      </c>
      <c r="R10" s="40" t="s">
        <v>4</v>
      </c>
      <c r="S10" s="40" t="s">
        <v>239</v>
      </c>
      <c r="T10" s="40" t="s">
        <v>240</v>
      </c>
      <c r="U10" s="40" t="s">
        <v>241</v>
      </c>
      <c r="V10" s="40" t="s">
        <v>242</v>
      </c>
      <c r="W10" s="40" t="s">
        <v>8</v>
      </c>
      <c r="X10" s="40" t="s">
        <v>9</v>
      </c>
      <c r="Y10" s="40" t="s">
        <v>62</v>
      </c>
      <c r="Z10" s="40" t="s">
        <v>63</v>
      </c>
      <c r="AA10" s="40" t="s">
        <v>64</v>
      </c>
      <c r="AB10" s="40" t="s">
        <v>65</v>
      </c>
      <c r="AC10" s="40" t="s">
        <v>25</v>
      </c>
      <c r="AD10" s="40" t="s">
        <v>122</v>
      </c>
      <c r="AE10" s="40" t="s">
        <v>180</v>
      </c>
      <c r="AF10" s="40" t="s">
        <v>7</v>
      </c>
      <c r="AG10" s="40" t="s">
        <v>123</v>
      </c>
      <c r="AH10" s="40" t="s">
        <v>181</v>
      </c>
      <c r="AI10" s="40" t="s">
        <v>10</v>
      </c>
      <c r="AJ10" s="40" t="s">
        <v>124</v>
      </c>
      <c r="AK10" s="40" t="s">
        <v>104</v>
      </c>
      <c r="AL10" s="40" t="s">
        <v>105</v>
      </c>
      <c r="AM10" s="40" t="s">
        <v>5</v>
      </c>
      <c r="AN10" s="40" t="s">
        <v>125</v>
      </c>
      <c r="AO10" s="40" t="s">
        <v>243</v>
      </c>
      <c r="AP10" s="40" t="s">
        <v>245</v>
      </c>
      <c r="AQ10" s="40" t="s">
        <v>246</v>
      </c>
      <c r="AR10" s="40" t="s">
        <v>247</v>
      </c>
      <c r="AS10" s="40" t="s">
        <v>248</v>
      </c>
    </row>
    <row r="11" spans="1:46" ht="13.5">
      <c r="A11" s="54" t="str">
        <f t="shared" ref="A11:A41" si="0">IF(AND(E11&lt;&gt;"",D11=0),"A","")</f>
        <v>A</v>
      </c>
      <c r="B11" s="54" t="str">
        <f>IF(H11&lt;&gt;"",IF(A11="A",HLOOKUP(H11,共通!$Q$4:$AO$11,7,FALSE),HLOOKUP(H11,共通!$Q$4:$AO$11,8,FALSE)),"")</f>
        <v/>
      </c>
      <c r="C11" s="54"/>
      <c r="D11" s="54">
        <v>0</v>
      </c>
      <c r="E11" s="38">
        <v>21</v>
      </c>
      <c r="F11" s="50">
        <v>4</v>
      </c>
      <c r="G11" s="39"/>
      <c r="H11" s="112"/>
      <c r="I11" s="110">
        <v>900</v>
      </c>
      <c r="J11" s="110">
        <v>1830</v>
      </c>
      <c r="K11" s="156"/>
      <c r="L11" s="55" t="s">
        <v>249</v>
      </c>
      <c r="M11" s="157"/>
      <c r="N11" s="131">
        <v>1</v>
      </c>
      <c r="O11" s="111"/>
      <c r="P11" s="109"/>
      <c r="Q11" s="44">
        <f t="shared" ref="Q11:Q41" si="1">IF(I11="","",TIME(TRUNC(I11/100),CEILING(MOD(I11,100),10),))</f>
        <v>0.375</v>
      </c>
      <c r="R11" s="44">
        <f t="shared" ref="R11:R41" si="2">IF(J11="","",TIME(TRUNC(J11/100),FLOOR(MOD(J11,100),10),))</f>
        <v>0.77083333333333337</v>
      </c>
      <c r="S11" s="45">
        <f t="shared" ref="S11:S41" si="3">IF(I11="","",IF(I11&lt;800,TRUNC((I11+2400)/100),TRUNC(I11/100)))</f>
        <v>9</v>
      </c>
      <c r="T11" s="45">
        <f t="shared" ref="T11:T41" si="4">IF(I11="","",MOD(I11,100))</f>
        <v>0</v>
      </c>
      <c r="U11" s="45">
        <f t="shared" ref="U11:U41" si="5">IF(J11="","",IF(J11&lt;900,TRUNC((J11+2400)/100),TRUNC(J11/100)))</f>
        <v>18</v>
      </c>
      <c r="V11" s="45">
        <f t="shared" ref="V11:V41" si="6">IF(J11="","",MOD(J11,100))</f>
        <v>30</v>
      </c>
      <c r="W11" s="44" t="str">
        <f t="shared" ref="W11:W41" si="7">IF(K11="","",TIME(TRUNC(K11/100),FLOOR(MOD(K11,100),10),))</f>
        <v/>
      </c>
      <c r="X11" s="44" t="str">
        <f t="shared" ref="X11:X41" si="8">IF(M11="","",TIME(TRUNC(M11/100),CEILING(MOD(M11,100),10),))</f>
        <v/>
      </c>
      <c r="Y11" s="45" t="str">
        <f t="shared" ref="Y11:Y41" si="9">IF(K11="","",IF(K11&lt;800,TRUNC((K11+2400)/100),TRUNC(K11/100)))</f>
        <v/>
      </c>
      <c r="Z11" s="45" t="str">
        <f t="shared" ref="Z11:Z41" si="10">IF(K11="","",MOD(K11,100))</f>
        <v/>
      </c>
      <c r="AA11" s="45" t="str">
        <f t="shared" ref="AA11:AA41" si="11">IF(M11="","",IF(M11&lt;900,TRUNC((M11+2400)/100),TRUNC(M11/100)))</f>
        <v/>
      </c>
      <c r="AB11" s="45" t="str">
        <f t="shared" ref="AB11:AB41" si="12">IF(M11="","",MOD(M11,100))</f>
        <v/>
      </c>
      <c r="AC11" s="44">
        <f>IF(AND(I11&lt;&gt;"",J11&lt;&gt;""),TIME(,timecheck1(S11,T11,U11,V11,17),),"")</f>
        <v>0.33333333333333331</v>
      </c>
      <c r="AD11" s="44">
        <f>IF(AND(I11&lt;&gt;"",J11&lt;&gt;""),TIME(,timecheck1(S11,T11,U11,V11,9),),"")</f>
        <v>0.33333333333333331</v>
      </c>
      <c r="AE11" s="44">
        <f>IF(AND(I11&lt;&gt;"",J11&lt;&gt;""),TIME(,timecheck1(S11,T11,U11,V11,0),),"")</f>
        <v>0</v>
      </c>
      <c r="AF11" s="44" t="str">
        <f t="shared" ref="AF11:AF41" si="13">IF(K11&lt;&gt;"",TIME(,timecheck3(Y11,Z11,AA11,AB11,17),),"")</f>
        <v/>
      </c>
      <c r="AG11" s="56" t="str">
        <f t="shared" ref="AG11:AG41" si="14">IF(K11&lt;&gt;"",TIME(,timecheck3(Y11,Z11,AA11,AB11,9),),"")</f>
        <v/>
      </c>
      <c r="AH11" s="56" t="str">
        <f t="shared" ref="AH11:AH41" si="15">IF(K11&lt;&gt;"",TIME(,timecheck3(Y11,Z11,AA11,AB11,0),),"")</f>
        <v/>
      </c>
      <c r="AI11" s="44">
        <f t="shared" ref="AI11:AI41" si="16">IF(I11&lt;&gt;"",TIME(,timecheck2(S11,T11,U11,V11,17),),"")</f>
        <v>6.25E-2</v>
      </c>
      <c r="AJ11" s="44">
        <f t="shared" ref="AJ11:AJ41" si="17">IF(I11&lt;&gt;"",TIME(,timecheck2(S11,T11,U11,V11,9),),"")</f>
        <v>6.25E-2</v>
      </c>
      <c r="AK11" s="44" t="str">
        <f t="shared" ref="AK11:AK41" si="18">IF(AND(AM11&lt;&gt;"",OR(B11="",B11="B",B11="I",B11="K",B11="L",B11="M"),AM11&lt;&gt;TIME(8,0,0)),AM11-TIME(8,0,0),IF(B11="E",-TIME(8,0,0),""))</f>
        <v/>
      </c>
      <c r="AL11" s="44" t="str">
        <f t="shared" ref="AL11:AL41" si="19">IF(AND(AM11&lt;&gt;"",OR(B11="H",B11="N")),AM11,"")</f>
        <v/>
      </c>
      <c r="AM11" s="46">
        <f t="shared" ref="AM11:AM41" si="20">IF(AC11&lt;&gt;"",IF(AF11&lt;&gt;"",AC11-AF11,AC11),"")</f>
        <v>0.33333333333333331</v>
      </c>
      <c r="AN11" s="46">
        <f t="shared" ref="AN11:AN41" si="21">IF(AD11&lt;&gt;"",IF(AG11&lt;&gt;"",AD11-AG11,AD11),"")</f>
        <v>0.33333333333333331</v>
      </c>
      <c r="AO11" s="46">
        <f t="shared" ref="AO11:AO41" si="22">IF(AE11&lt;&gt;"",IF(AH11&lt;&gt;"",AE11-AH11,AE11),"")</f>
        <v>0</v>
      </c>
      <c r="AP11" s="46">
        <f t="shared" ref="AP11:AP41" si="23">IF(K11&lt;&gt;"",TIME(,timecheck6(S11,T11,U11,V11,Y11,Z11,AA11,AB11,7),),TIME(,timecheck1(S11,T11,U11,V11,7),))</f>
        <v>0.125</v>
      </c>
      <c r="AQ11" s="46">
        <f t="shared" ref="AQ11:AQ41" si="24">IF(K11&lt;&gt;"",TIME(,timecheck7(S11,T11,U11,V11,Y11,Z11,AA11,AB11,9),),TIME(,timecheck4(S11,T11,U11,V11,9),))</f>
        <v>0.20833333333333334</v>
      </c>
      <c r="AR11" s="44"/>
      <c r="AS11" s="46"/>
      <c r="AT11" s="57"/>
    </row>
    <row r="12" spans="1:46" ht="13.5">
      <c r="A12" s="54" t="str">
        <f t="shared" si="0"/>
        <v>A</v>
      </c>
      <c r="B12" s="54" t="str">
        <f>IF(H12&lt;&gt;"",IF(A12="A",HLOOKUP(H12,共通!$Q$4:$AO$11,7,FALSE),HLOOKUP(H12,共通!$Q$4:$AO$11,8,FALSE)),"")</f>
        <v/>
      </c>
      <c r="C12" s="54"/>
      <c r="D12" s="54">
        <v>0</v>
      </c>
      <c r="E12" s="38">
        <v>22</v>
      </c>
      <c r="F12" s="50">
        <v>5</v>
      </c>
      <c r="G12" s="39"/>
      <c r="H12" s="112"/>
      <c r="I12" s="110">
        <v>900</v>
      </c>
      <c r="J12" s="110">
        <v>2020</v>
      </c>
      <c r="K12" s="156"/>
      <c r="L12" s="55" t="s">
        <v>249</v>
      </c>
      <c r="M12" s="157"/>
      <c r="N12" s="131">
        <v>1</v>
      </c>
      <c r="O12" s="111"/>
      <c r="P12" s="147"/>
      <c r="Q12" s="44">
        <f t="shared" si="1"/>
        <v>0.375</v>
      </c>
      <c r="R12" s="44">
        <f t="shared" si="2"/>
        <v>0.84722222222222221</v>
      </c>
      <c r="S12" s="45">
        <f t="shared" si="3"/>
        <v>9</v>
      </c>
      <c r="T12" s="45">
        <f t="shared" si="4"/>
        <v>0</v>
      </c>
      <c r="U12" s="45">
        <f t="shared" si="5"/>
        <v>20</v>
      </c>
      <c r="V12" s="45">
        <f t="shared" si="6"/>
        <v>20</v>
      </c>
      <c r="W12" s="44" t="str">
        <f t="shared" si="7"/>
        <v/>
      </c>
      <c r="X12" s="44" t="str">
        <f t="shared" si="8"/>
        <v/>
      </c>
      <c r="Y12" s="45" t="str">
        <f t="shared" si="9"/>
        <v/>
      </c>
      <c r="Z12" s="45" t="str">
        <f t="shared" si="10"/>
        <v/>
      </c>
      <c r="AA12" s="45" t="str">
        <f t="shared" si="11"/>
        <v/>
      </c>
      <c r="AB12" s="45" t="str">
        <f t="shared" si="12"/>
        <v/>
      </c>
      <c r="AC12" s="44">
        <f>IF(AND(I12&lt;&gt;"",J12&lt;&gt;""),TIME(,timecheck1(S12,T12,U12,V12,17),),"")</f>
        <v>0.40972222222222227</v>
      </c>
      <c r="AD12" s="44">
        <f>IF(AND(I12&lt;&gt;"",J12&lt;&gt;""),TIME(,timecheck1(S12,T12,U12,V12,9),),"")</f>
        <v>0.33333333333333331</v>
      </c>
      <c r="AE12" s="44">
        <f>IF(AND(I12&lt;&gt;"",J12&lt;&gt;""),TIME(,timecheck1(S12,T12,U12,V12,0),),"")</f>
        <v>0</v>
      </c>
      <c r="AF12" s="44" t="str">
        <f t="shared" si="13"/>
        <v/>
      </c>
      <c r="AG12" s="56" t="str">
        <f t="shared" si="14"/>
        <v/>
      </c>
      <c r="AH12" s="56" t="str">
        <f t="shared" si="15"/>
        <v/>
      </c>
      <c r="AI12" s="44">
        <f t="shared" si="16"/>
        <v>6.25E-2</v>
      </c>
      <c r="AJ12" s="44">
        <f t="shared" si="17"/>
        <v>6.25E-2</v>
      </c>
      <c r="AK12" s="44">
        <f t="shared" si="18"/>
        <v>7.6388888888888951E-2</v>
      </c>
      <c r="AL12" s="44" t="str">
        <f t="shared" si="19"/>
        <v/>
      </c>
      <c r="AM12" s="46">
        <f t="shared" si="20"/>
        <v>0.40972222222222227</v>
      </c>
      <c r="AN12" s="46">
        <f t="shared" si="21"/>
        <v>0.33333333333333331</v>
      </c>
      <c r="AO12" s="46">
        <f t="shared" si="22"/>
        <v>0</v>
      </c>
      <c r="AP12" s="46">
        <f t="shared" si="23"/>
        <v>0.125</v>
      </c>
      <c r="AQ12" s="46">
        <f t="shared" si="24"/>
        <v>0.20833333333333334</v>
      </c>
      <c r="AR12" s="44"/>
      <c r="AS12" s="46"/>
      <c r="AT12" s="57"/>
    </row>
    <row r="13" spans="1:46" ht="13.5">
      <c r="A13" s="54" t="str">
        <f t="shared" si="0"/>
        <v>A</v>
      </c>
      <c r="B13" s="54" t="str">
        <f>IF(H13&lt;&gt;"",IF(A13="A",HLOOKUP(H13,共通!$Q$4:$AO$11,7,FALSE),HLOOKUP(H13,共通!$Q$4:$AO$11,8,FALSE)),"")</f>
        <v/>
      </c>
      <c r="C13" s="54"/>
      <c r="D13" s="54">
        <v>0</v>
      </c>
      <c r="E13" s="38">
        <v>23</v>
      </c>
      <c r="F13" s="50">
        <v>6</v>
      </c>
      <c r="G13" s="39"/>
      <c r="H13" s="112"/>
      <c r="I13" s="110">
        <v>900</v>
      </c>
      <c r="J13" s="110">
        <v>2030</v>
      </c>
      <c r="K13" s="156"/>
      <c r="L13" s="55" t="s">
        <v>249</v>
      </c>
      <c r="M13" s="157"/>
      <c r="N13" s="131">
        <v>1</v>
      </c>
      <c r="O13" s="111"/>
      <c r="P13" s="109"/>
      <c r="Q13" s="44">
        <f t="shared" si="1"/>
        <v>0.375</v>
      </c>
      <c r="R13" s="44">
        <f t="shared" si="2"/>
        <v>0.85416666666666663</v>
      </c>
      <c r="S13" s="45">
        <f t="shared" si="3"/>
        <v>9</v>
      </c>
      <c r="T13" s="45">
        <f t="shared" si="4"/>
        <v>0</v>
      </c>
      <c r="U13" s="45">
        <f t="shared" si="5"/>
        <v>20</v>
      </c>
      <c r="V13" s="45">
        <f t="shared" si="6"/>
        <v>30</v>
      </c>
      <c r="W13" s="44" t="str">
        <f t="shared" si="7"/>
        <v/>
      </c>
      <c r="X13" s="44" t="str">
        <f t="shared" si="8"/>
        <v/>
      </c>
      <c r="Y13" s="45" t="str">
        <f t="shared" si="9"/>
        <v/>
      </c>
      <c r="Z13" s="45" t="str">
        <f t="shared" si="10"/>
        <v/>
      </c>
      <c r="AA13" s="45" t="str">
        <f t="shared" si="11"/>
        <v/>
      </c>
      <c r="AB13" s="45" t="str">
        <f t="shared" si="12"/>
        <v/>
      </c>
      <c r="AC13" s="44">
        <f>IF(AND(I13&lt;&gt;"",J13&lt;&gt;""),TIME(,timecheck1(S13,T13,U13,V13,17),),"")</f>
        <v>0.41666666666666669</v>
      </c>
      <c r="AD13" s="44">
        <f>IF(AND(I13&lt;&gt;"",J13&lt;&gt;""),TIME(,timecheck1(S13,T13,U13,V13,9),),"")</f>
        <v>0.33333333333333331</v>
      </c>
      <c r="AE13" s="44">
        <f>IF(AND(I13&lt;&gt;"",J13&lt;&gt;""),TIME(,timecheck1(S13,T13,U13,V13,0),),"")</f>
        <v>0</v>
      </c>
      <c r="AF13" s="44" t="str">
        <f t="shared" si="13"/>
        <v/>
      </c>
      <c r="AG13" s="56" t="str">
        <f t="shared" si="14"/>
        <v/>
      </c>
      <c r="AH13" s="56" t="str">
        <f t="shared" si="15"/>
        <v/>
      </c>
      <c r="AI13" s="44">
        <f t="shared" si="16"/>
        <v>6.25E-2</v>
      </c>
      <c r="AJ13" s="44">
        <f t="shared" si="17"/>
        <v>6.25E-2</v>
      </c>
      <c r="AK13" s="44">
        <f t="shared" si="18"/>
        <v>8.333333333333337E-2</v>
      </c>
      <c r="AL13" s="44" t="str">
        <f t="shared" si="19"/>
        <v/>
      </c>
      <c r="AM13" s="46">
        <f t="shared" si="20"/>
        <v>0.41666666666666669</v>
      </c>
      <c r="AN13" s="46">
        <f t="shared" si="21"/>
        <v>0.33333333333333331</v>
      </c>
      <c r="AO13" s="46">
        <f t="shared" si="22"/>
        <v>0</v>
      </c>
      <c r="AP13" s="46">
        <f t="shared" si="23"/>
        <v>0.125</v>
      </c>
      <c r="AQ13" s="46">
        <f t="shared" si="24"/>
        <v>0.20833333333333334</v>
      </c>
      <c r="AR13" s="44"/>
      <c r="AS13" s="46"/>
      <c r="AT13" s="57"/>
    </row>
    <row r="14" spans="1:46" ht="13.5">
      <c r="A14" s="54" t="str">
        <f t="shared" si="0"/>
        <v>A</v>
      </c>
      <c r="B14" s="54" t="str">
        <f>IF(H14&lt;&gt;"",IF(A14="A",HLOOKUP(H14,共通!$Q$4:$AO$11,7,FALSE),HLOOKUP(H14,共通!$Q$4:$AO$11,8,FALSE)),"")</f>
        <v/>
      </c>
      <c r="C14" s="54"/>
      <c r="D14" s="54">
        <v>0</v>
      </c>
      <c r="E14" s="38">
        <v>24</v>
      </c>
      <c r="F14" s="50">
        <v>7</v>
      </c>
      <c r="G14" s="39"/>
      <c r="H14" s="112"/>
      <c r="I14" s="110">
        <v>900</v>
      </c>
      <c r="J14" s="110">
        <v>1930</v>
      </c>
      <c r="K14" s="156"/>
      <c r="L14" s="55" t="s">
        <v>249</v>
      </c>
      <c r="M14" s="157"/>
      <c r="N14" s="131">
        <v>1</v>
      </c>
      <c r="O14" s="111"/>
      <c r="P14" s="109"/>
      <c r="Q14" s="44">
        <f t="shared" si="1"/>
        <v>0.375</v>
      </c>
      <c r="R14" s="44">
        <f t="shared" si="2"/>
        <v>0.8125</v>
      </c>
      <c r="S14" s="45">
        <f t="shared" si="3"/>
        <v>9</v>
      </c>
      <c r="T14" s="45">
        <f t="shared" si="4"/>
        <v>0</v>
      </c>
      <c r="U14" s="45">
        <f t="shared" si="5"/>
        <v>19</v>
      </c>
      <c r="V14" s="45">
        <f t="shared" si="6"/>
        <v>30</v>
      </c>
      <c r="W14" s="44" t="str">
        <f t="shared" si="7"/>
        <v/>
      </c>
      <c r="X14" s="44" t="str">
        <f t="shared" si="8"/>
        <v/>
      </c>
      <c r="Y14" s="45" t="str">
        <f t="shared" si="9"/>
        <v/>
      </c>
      <c r="Z14" s="45" t="str">
        <f t="shared" si="10"/>
        <v/>
      </c>
      <c r="AA14" s="45" t="str">
        <f t="shared" si="11"/>
        <v/>
      </c>
      <c r="AB14" s="45" t="str">
        <f t="shared" si="12"/>
        <v/>
      </c>
      <c r="AC14" s="44">
        <f>IF(AND(I14&lt;&gt;"",J14&lt;&gt;""),TIME(,timecheck1(S14,T14,U14,V14,17),),"")</f>
        <v>0.375</v>
      </c>
      <c r="AD14" s="44">
        <f>IF(AND(I14&lt;&gt;"",J14&lt;&gt;""),TIME(,timecheck1(S14,T14,U14,V14,9),),"")</f>
        <v>0.33333333333333331</v>
      </c>
      <c r="AE14" s="44">
        <f>IF(AND(I14&lt;&gt;"",J14&lt;&gt;""),TIME(,timecheck1(S14,T14,U14,V14,0),),"")</f>
        <v>0</v>
      </c>
      <c r="AF14" s="44" t="str">
        <f t="shared" si="13"/>
        <v/>
      </c>
      <c r="AG14" s="56" t="str">
        <f t="shared" si="14"/>
        <v/>
      </c>
      <c r="AH14" s="56" t="str">
        <f t="shared" si="15"/>
        <v/>
      </c>
      <c r="AI14" s="44">
        <f t="shared" si="16"/>
        <v>6.25E-2</v>
      </c>
      <c r="AJ14" s="44">
        <f t="shared" si="17"/>
        <v>6.25E-2</v>
      </c>
      <c r="AK14" s="44">
        <f t="shared" si="18"/>
        <v>4.1666666666666685E-2</v>
      </c>
      <c r="AL14" s="44" t="str">
        <f t="shared" si="19"/>
        <v/>
      </c>
      <c r="AM14" s="46">
        <f t="shared" si="20"/>
        <v>0.375</v>
      </c>
      <c r="AN14" s="46">
        <f t="shared" si="21"/>
        <v>0.33333333333333331</v>
      </c>
      <c r="AO14" s="46">
        <f t="shared" si="22"/>
        <v>0</v>
      </c>
      <c r="AP14" s="46">
        <f t="shared" si="23"/>
        <v>0.125</v>
      </c>
      <c r="AQ14" s="46">
        <f t="shared" si="24"/>
        <v>0.20833333333333334</v>
      </c>
      <c r="AR14" s="44"/>
      <c r="AS14" s="46"/>
      <c r="AT14" s="57"/>
    </row>
    <row r="15" spans="1:46" ht="13.5">
      <c r="A15" s="54" t="str">
        <f t="shared" si="0"/>
        <v/>
      </c>
      <c r="B15" s="54" t="str">
        <f>IF(H15&lt;&gt;"",IF(A15="A",HLOOKUP(H15,共通!$Q$4:$AO$11,7,FALSE),HLOOKUP(H15,共通!$Q$4:$AO$11,8,FALSE)),"")</f>
        <v/>
      </c>
      <c r="C15" s="54"/>
      <c r="D15" s="54">
        <v>1</v>
      </c>
      <c r="E15" s="38">
        <v>25</v>
      </c>
      <c r="F15" s="50">
        <v>8</v>
      </c>
      <c r="G15" s="39"/>
      <c r="H15" s="112"/>
      <c r="I15" s="110"/>
      <c r="J15" s="110"/>
      <c r="K15" s="156"/>
      <c r="L15" s="55" t="s">
        <v>249</v>
      </c>
      <c r="M15" s="157"/>
      <c r="N15" s="131"/>
      <c r="O15" s="111"/>
      <c r="P15" s="109"/>
      <c r="Q15" s="44" t="str">
        <f t="shared" si="1"/>
        <v/>
      </c>
      <c r="R15" s="44" t="str">
        <f t="shared" si="2"/>
        <v/>
      </c>
      <c r="S15" s="45" t="str">
        <f t="shared" si="3"/>
        <v/>
      </c>
      <c r="T15" s="45" t="str">
        <f t="shared" si="4"/>
        <v/>
      </c>
      <c r="U15" s="45" t="str">
        <f t="shared" si="5"/>
        <v/>
      </c>
      <c r="V15" s="45" t="str">
        <f t="shared" si="6"/>
        <v/>
      </c>
      <c r="W15" s="44" t="str">
        <f t="shared" si="7"/>
        <v/>
      </c>
      <c r="X15" s="44" t="str">
        <f t="shared" si="8"/>
        <v/>
      </c>
      <c r="Y15" s="45" t="str">
        <f t="shared" si="9"/>
        <v/>
      </c>
      <c r="Z15" s="45" t="str">
        <f t="shared" si="10"/>
        <v/>
      </c>
      <c r="AA15" s="45" t="str">
        <f t="shared" si="11"/>
        <v/>
      </c>
      <c r="AB15" s="45" t="str">
        <f t="shared" si="12"/>
        <v/>
      </c>
      <c r="AC15" s="44" t="str">
        <f>IF(AND(I15&lt;&gt;"",J15&lt;&gt;""),TIME(,timecheck1(S15,T15,U15,V15,17),),"")</f>
        <v/>
      </c>
      <c r="AD15" s="44" t="str">
        <f>IF(AND(I15&lt;&gt;"",J15&lt;&gt;""),TIME(,timecheck1(S15,T15,U15,V15,9),),"")</f>
        <v/>
      </c>
      <c r="AE15" s="44" t="str">
        <f>IF(AND(I15&lt;&gt;"",J15&lt;&gt;""),TIME(,timecheck1(S15,T15,U15,V15,0),),"")</f>
        <v/>
      </c>
      <c r="AF15" s="44" t="str">
        <f t="shared" si="13"/>
        <v/>
      </c>
      <c r="AG15" s="56" t="str">
        <f t="shared" si="14"/>
        <v/>
      </c>
      <c r="AH15" s="56" t="str">
        <f t="shared" si="15"/>
        <v/>
      </c>
      <c r="AI15" s="44" t="str">
        <f t="shared" si="16"/>
        <v/>
      </c>
      <c r="AJ15" s="44" t="str">
        <f t="shared" si="17"/>
        <v/>
      </c>
      <c r="AK15" s="44" t="str">
        <f t="shared" si="18"/>
        <v/>
      </c>
      <c r="AL15" s="44" t="str">
        <f t="shared" si="19"/>
        <v/>
      </c>
      <c r="AM15" s="46" t="str">
        <f t="shared" si="20"/>
        <v/>
      </c>
      <c r="AN15" s="46" t="str">
        <f t="shared" si="21"/>
        <v/>
      </c>
      <c r="AO15" s="46" t="str">
        <f t="shared" si="22"/>
        <v/>
      </c>
      <c r="AP15" s="46" t="e">
        <f t="shared" si="23"/>
        <v>#VALUE!</v>
      </c>
      <c r="AQ15" s="46" t="e">
        <f t="shared" si="24"/>
        <v>#VALUE!</v>
      </c>
      <c r="AR15" s="44"/>
      <c r="AS15" s="46"/>
      <c r="AT15" s="57"/>
    </row>
    <row r="16" spans="1:46" ht="13.5">
      <c r="A16" s="54" t="str">
        <f t="shared" si="0"/>
        <v/>
      </c>
      <c r="B16" s="54" t="str">
        <f>IF(H16&lt;&gt;"",IF(A16="A",HLOOKUP(H16,共通!$Q$4:$AO$11,7,FALSE),HLOOKUP(H16,共通!$Q$4:$AO$11,8,FALSE)),"")</f>
        <v/>
      </c>
      <c r="C16" s="54"/>
      <c r="D16" s="54">
        <v>2</v>
      </c>
      <c r="E16" s="38">
        <v>26</v>
      </c>
      <c r="F16" s="50">
        <v>2</v>
      </c>
      <c r="G16" s="39"/>
      <c r="H16" s="112"/>
      <c r="I16" s="110"/>
      <c r="J16" s="110"/>
      <c r="K16" s="156"/>
      <c r="L16" s="55" t="s">
        <v>249</v>
      </c>
      <c r="M16" s="157"/>
      <c r="N16" s="131"/>
      <c r="O16" s="111"/>
      <c r="P16" s="109"/>
      <c r="Q16" s="44" t="str">
        <f t="shared" si="1"/>
        <v/>
      </c>
      <c r="R16" s="44" t="str">
        <f t="shared" si="2"/>
        <v/>
      </c>
      <c r="S16" s="45" t="str">
        <f t="shared" si="3"/>
        <v/>
      </c>
      <c r="T16" s="45" t="str">
        <f t="shared" si="4"/>
        <v/>
      </c>
      <c r="U16" s="45" t="str">
        <f t="shared" si="5"/>
        <v/>
      </c>
      <c r="V16" s="45" t="str">
        <f t="shared" si="6"/>
        <v/>
      </c>
      <c r="W16" s="44" t="str">
        <f t="shared" si="7"/>
        <v/>
      </c>
      <c r="X16" s="44" t="str">
        <f t="shared" si="8"/>
        <v/>
      </c>
      <c r="Y16" s="45" t="str">
        <f t="shared" si="9"/>
        <v/>
      </c>
      <c r="Z16" s="45" t="str">
        <f t="shared" si="10"/>
        <v/>
      </c>
      <c r="AA16" s="45" t="str">
        <f t="shared" si="11"/>
        <v/>
      </c>
      <c r="AB16" s="45" t="str">
        <f t="shared" si="12"/>
        <v/>
      </c>
      <c r="AC16" s="44" t="str">
        <f>IF(AND(I16&lt;&gt;"",J16&lt;&gt;""),TIME(,timecheck1(S16,T16,U16,V16,17),),"")</f>
        <v/>
      </c>
      <c r="AD16" s="44" t="str">
        <f>IF(AND(I16&lt;&gt;"",J16&lt;&gt;""),TIME(,timecheck1(S16,T16,U16,V16,9),),"")</f>
        <v/>
      </c>
      <c r="AE16" s="44" t="str">
        <f>IF(AND(I16&lt;&gt;"",J16&lt;&gt;""),TIME(,timecheck1(S16,T16,U16,V16,0),),"")</f>
        <v/>
      </c>
      <c r="AF16" s="44" t="str">
        <f t="shared" si="13"/>
        <v/>
      </c>
      <c r="AG16" s="56" t="str">
        <f t="shared" si="14"/>
        <v/>
      </c>
      <c r="AH16" s="56" t="str">
        <f t="shared" si="15"/>
        <v/>
      </c>
      <c r="AI16" s="44" t="str">
        <f t="shared" si="16"/>
        <v/>
      </c>
      <c r="AJ16" s="44" t="str">
        <f t="shared" si="17"/>
        <v/>
      </c>
      <c r="AK16" s="44" t="str">
        <f t="shared" si="18"/>
        <v/>
      </c>
      <c r="AL16" s="44" t="str">
        <f t="shared" si="19"/>
        <v/>
      </c>
      <c r="AM16" s="46" t="str">
        <f t="shared" si="20"/>
        <v/>
      </c>
      <c r="AN16" s="46" t="str">
        <f t="shared" si="21"/>
        <v/>
      </c>
      <c r="AO16" s="46" t="str">
        <f t="shared" si="22"/>
        <v/>
      </c>
      <c r="AP16" s="46" t="e">
        <f t="shared" si="23"/>
        <v>#VALUE!</v>
      </c>
      <c r="AQ16" s="46" t="e">
        <f t="shared" si="24"/>
        <v>#VALUE!</v>
      </c>
      <c r="AR16" s="44"/>
      <c r="AS16" s="46"/>
      <c r="AT16" s="57"/>
    </row>
    <row r="17" spans="1:46" ht="13.5">
      <c r="A17" s="54" t="str">
        <f t="shared" si="0"/>
        <v>A</v>
      </c>
      <c r="B17" s="54" t="str">
        <f>IF(H17&lt;&gt;"",IF(A17="A",HLOOKUP(H17,共通!$Q$4:$AO$11,7,FALSE),HLOOKUP(H17,共通!$Q$4:$AO$11,8,FALSE)),"")</f>
        <v/>
      </c>
      <c r="C17" s="54"/>
      <c r="D17" s="54">
        <v>0</v>
      </c>
      <c r="E17" s="38">
        <v>27</v>
      </c>
      <c r="F17" s="50">
        <v>3</v>
      </c>
      <c r="G17" s="39"/>
      <c r="H17" s="112"/>
      <c r="I17" s="110">
        <v>900</v>
      </c>
      <c r="J17" s="110">
        <v>2030</v>
      </c>
      <c r="K17" s="156"/>
      <c r="L17" s="55" t="s">
        <v>249</v>
      </c>
      <c r="M17" s="157"/>
      <c r="N17" s="131">
        <v>1</v>
      </c>
      <c r="O17" s="111"/>
      <c r="P17" s="109"/>
      <c r="Q17" s="44">
        <f t="shared" si="1"/>
        <v>0.375</v>
      </c>
      <c r="R17" s="44">
        <f t="shared" si="2"/>
        <v>0.85416666666666663</v>
      </c>
      <c r="S17" s="45">
        <f t="shared" si="3"/>
        <v>9</v>
      </c>
      <c r="T17" s="45">
        <f t="shared" si="4"/>
        <v>0</v>
      </c>
      <c r="U17" s="45">
        <f t="shared" si="5"/>
        <v>20</v>
      </c>
      <c r="V17" s="45">
        <f t="shared" si="6"/>
        <v>30</v>
      </c>
      <c r="W17" s="44" t="str">
        <f t="shared" si="7"/>
        <v/>
      </c>
      <c r="X17" s="44" t="str">
        <f t="shared" si="8"/>
        <v/>
      </c>
      <c r="Y17" s="45" t="str">
        <f t="shared" si="9"/>
        <v/>
      </c>
      <c r="Z17" s="45" t="str">
        <f t="shared" si="10"/>
        <v/>
      </c>
      <c r="AA17" s="45" t="str">
        <f t="shared" si="11"/>
        <v/>
      </c>
      <c r="AB17" s="45" t="str">
        <f t="shared" si="12"/>
        <v/>
      </c>
      <c r="AC17" s="44">
        <f>IF(AND(I17&lt;&gt;"",J17&lt;&gt;""),TIME(,timecheck1(S17,T17,U17,V17,17),),"")</f>
        <v>0.41666666666666669</v>
      </c>
      <c r="AD17" s="44">
        <f>IF(AND(I17&lt;&gt;"",J17&lt;&gt;""),TIME(,timecheck1(S17,T17,U17,V17,9),),"")</f>
        <v>0.33333333333333331</v>
      </c>
      <c r="AE17" s="44">
        <f>IF(AND(I17&lt;&gt;"",J17&lt;&gt;""),TIME(,timecheck1(S17,T17,U17,V17,0),),"")</f>
        <v>0</v>
      </c>
      <c r="AF17" s="44" t="str">
        <f t="shared" si="13"/>
        <v/>
      </c>
      <c r="AG17" s="56" t="str">
        <f t="shared" si="14"/>
        <v/>
      </c>
      <c r="AH17" s="56" t="str">
        <f t="shared" si="15"/>
        <v/>
      </c>
      <c r="AI17" s="44">
        <f t="shared" si="16"/>
        <v>6.25E-2</v>
      </c>
      <c r="AJ17" s="44">
        <f t="shared" si="17"/>
        <v>6.25E-2</v>
      </c>
      <c r="AK17" s="44">
        <f t="shared" si="18"/>
        <v>8.333333333333337E-2</v>
      </c>
      <c r="AL17" s="44" t="str">
        <f t="shared" si="19"/>
        <v/>
      </c>
      <c r="AM17" s="46">
        <f t="shared" si="20"/>
        <v>0.41666666666666669</v>
      </c>
      <c r="AN17" s="46">
        <f t="shared" si="21"/>
        <v>0.33333333333333331</v>
      </c>
      <c r="AO17" s="46">
        <f t="shared" si="22"/>
        <v>0</v>
      </c>
      <c r="AP17" s="46">
        <f t="shared" si="23"/>
        <v>0.125</v>
      </c>
      <c r="AQ17" s="46">
        <f t="shared" si="24"/>
        <v>0.20833333333333334</v>
      </c>
      <c r="AR17" s="44"/>
      <c r="AS17" s="46"/>
      <c r="AT17" s="57"/>
    </row>
    <row r="18" spans="1:46" ht="13.5">
      <c r="A18" s="54" t="str">
        <f t="shared" si="0"/>
        <v>A</v>
      </c>
      <c r="B18" s="54" t="str">
        <f>IF(H18&lt;&gt;"",IF(A18="A",HLOOKUP(H18,共通!$Q$4:$AO$11,7,FALSE),HLOOKUP(H18,共通!$Q$4:$AO$11,8,FALSE)),"")</f>
        <v/>
      </c>
      <c r="C18" s="54"/>
      <c r="D18" s="54">
        <v>0</v>
      </c>
      <c r="E18" s="38">
        <v>28</v>
      </c>
      <c r="F18" s="50">
        <v>4</v>
      </c>
      <c r="G18" s="39"/>
      <c r="H18" s="112"/>
      <c r="I18" s="110">
        <v>900</v>
      </c>
      <c r="J18" s="110">
        <v>2010</v>
      </c>
      <c r="K18" s="156"/>
      <c r="L18" s="55" t="s">
        <v>249</v>
      </c>
      <c r="M18" s="157"/>
      <c r="N18" s="131">
        <v>1</v>
      </c>
      <c r="O18" s="111"/>
      <c r="P18" s="109"/>
      <c r="Q18" s="44">
        <f t="shared" si="1"/>
        <v>0.375</v>
      </c>
      <c r="R18" s="44">
        <f t="shared" si="2"/>
        <v>0.84027777777777779</v>
      </c>
      <c r="S18" s="45">
        <f t="shared" si="3"/>
        <v>9</v>
      </c>
      <c r="T18" s="45">
        <f t="shared" si="4"/>
        <v>0</v>
      </c>
      <c r="U18" s="45">
        <f t="shared" si="5"/>
        <v>20</v>
      </c>
      <c r="V18" s="45">
        <f t="shared" si="6"/>
        <v>10</v>
      </c>
      <c r="W18" s="44" t="str">
        <f t="shared" si="7"/>
        <v/>
      </c>
      <c r="X18" s="44" t="str">
        <f t="shared" si="8"/>
        <v/>
      </c>
      <c r="Y18" s="45" t="str">
        <f t="shared" si="9"/>
        <v/>
      </c>
      <c r="Z18" s="45" t="str">
        <f t="shared" si="10"/>
        <v/>
      </c>
      <c r="AA18" s="45" t="str">
        <f t="shared" si="11"/>
        <v/>
      </c>
      <c r="AB18" s="45" t="str">
        <f t="shared" si="12"/>
        <v/>
      </c>
      <c r="AC18" s="44">
        <f>IF(AND(I18&lt;&gt;"",J18&lt;&gt;""),TIME(,timecheck1(S18,T18,U18,V18,17),),"")</f>
        <v>0.40277777777777773</v>
      </c>
      <c r="AD18" s="44">
        <f>IF(AND(I18&lt;&gt;"",J18&lt;&gt;""),TIME(,timecheck1(S18,T18,U18,V18,9),),"")</f>
        <v>0.33333333333333331</v>
      </c>
      <c r="AE18" s="44">
        <f>IF(AND(I18&lt;&gt;"",J18&lt;&gt;""),TIME(,timecheck1(S18,T18,U18,V18,0),),"")</f>
        <v>0</v>
      </c>
      <c r="AF18" s="44" t="str">
        <f t="shared" si="13"/>
        <v/>
      </c>
      <c r="AG18" s="56" t="str">
        <f t="shared" si="14"/>
        <v/>
      </c>
      <c r="AH18" s="56" t="str">
        <f t="shared" si="15"/>
        <v/>
      </c>
      <c r="AI18" s="44">
        <f t="shared" si="16"/>
        <v>6.25E-2</v>
      </c>
      <c r="AJ18" s="44">
        <f t="shared" si="17"/>
        <v>6.25E-2</v>
      </c>
      <c r="AK18" s="44">
        <f t="shared" si="18"/>
        <v>6.944444444444442E-2</v>
      </c>
      <c r="AL18" s="44" t="str">
        <f t="shared" si="19"/>
        <v/>
      </c>
      <c r="AM18" s="46">
        <f t="shared" si="20"/>
        <v>0.40277777777777773</v>
      </c>
      <c r="AN18" s="46">
        <f t="shared" si="21"/>
        <v>0.33333333333333331</v>
      </c>
      <c r="AO18" s="46">
        <f t="shared" si="22"/>
        <v>0</v>
      </c>
      <c r="AP18" s="46">
        <f t="shared" si="23"/>
        <v>0.125</v>
      </c>
      <c r="AQ18" s="46">
        <f t="shared" si="24"/>
        <v>0.20833333333333334</v>
      </c>
      <c r="AR18" s="44"/>
      <c r="AS18" s="46"/>
      <c r="AT18" s="57"/>
    </row>
    <row r="19" spans="1:46" ht="13.5">
      <c r="A19" s="54" t="str">
        <f t="shared" si="0"/>
        <v/>
      </c>
      <c r="B19" s="54" t="str">
        <f>IF(H19&lt;&gt;"",IF(A19="A",HLOOKUP(H19,共通!$Q$4:$AO$11,7,FALSE),HLOOKUP(H19,共通!$Q$4:$AO$11,8,FALSE)),"")</f>
        <v/>
      </c>
      <c r="C19" s="54"/>
      <c r="D19" s="54">
        <v>3</v>
      </c>
      <c r="E19" s="38">
        <v>29</v>
      </c>
      <c r="F19" s="50">
        <v>5</v>
      </c>
      <c r="G19" s="39" t="s">
        <v>273</v>
      </c>
      <c r="H19" s="112"/>
      <c r="I19" s="110"/>
      <c r="J19" s="110"/>
      <c r="K19" s="156"/>
      <c r="L19" s="55" t="s">
        <v>249</v>
      </c>
      <c r="M19" s="157"/>
      <c r="N19" s="131"/>
      <c r="O19" s="111"/>
      <c r="P19" s="109"/>
      <c r="Q19" s="44" t="str">
        <f t="shared" si="1"/>
        <v/>
      </c>
      <c r="R19" s="44" t="str">
        <f t="shared" si="2"/>
        <v/>
      </c>
      <c r="S19" s="45" t="str">
        <f t="shared" si="3"/>
        <v/>
      </c>
      <c r="T19" s="45" t="str">
        <f t="shared" si="4"/>
        <v/>
      </c>
      <c r="U19" s="45" t="str">
        <f t="shared" si="5"/>
        <v/>
      </c>
      <c r="V19" s="45" t="str">
        <f t="shared" si="6"/>
        <v/>
      </c>
      <c r="W19" s="44" t="str">
        <f t="shared" si="7"/>
        <v/>
      </c>
      <c r="X19" s="44" t="str">
        <f t="shared" si="8"/>
        <v/>
      </c>
      <c r="Y19" s="45" t="str">
        <f t="shared" si="9"/>
        <v/>
      </c>
      <c r="Z19" s="45" t="str">
        <f t="shared" si="10"/>
        <v/>
      </c>
      <c r="AA19" s="45" t="str">
        <f t="shared" si="11"/>
        <v/>
      </c>
      <c r="AB19" s="45" t="str">
        <f t="shared" si="12"/>
        <v/>
      </c>
      <c r="AC19" s="44" t="str">
        <f>IF(AND(I19&lt;&gt;"",J19&lt;&gt;""),TIME(,timecheck1(S19,T19,U19,V19,17),),"")</f>
        <v/>
      </c>
      <c r="AD19" s="44" t="str">
        <f>IF(AND(I19&lt;&gt;"",J19&lt;&gt;""),TIME(,timecheck1(S19,T19,U19,V19,9),),"")</f>
        <v/>
      </c>
      <c r="AE19" s="44" t="str">
        <f>IF(AND(I19&lt;&gt;"",J19&lt;&gt;""),TIME(,timecheck1(S19,T19,U19,V19,0),),"")</f>
        <v/>
      </c>
      <c r="AF19" s="44" t="str">
        <f t="shared" si="13"/>
        <v/>
      </c>
      <c r="AG19" s="56" t="str">
        <f t="shared" si="14"/>
        <v/>
      </c>
      <c r="AH19" s="56" t="str">
        <f t="shared" si="15"/>
        <v/>
      </c>
      <c r="AI19" s="44" t="str">
        <f t="shared" si="16"/>
        <v/>
      </c>
      <c r="AJ19" s="44" t="str">
        <f t="shared" si="17"/>
        <v/>
      </c>
      <c r="AK19" s="44" t="str">
        <f t="shared" si="18"/>
        <v/>
      </c>
      <c r="AL19" s="44" t="str">
        <f t="shared" si="19"/>
        <v/>
      </c>
      <c r="AM19" s="46" t="str">
        <f t="shared" si="20"/>
        <v/>
      </c>
      <c r="AN19" s="46" t="str">
        <f t="shared" si="21"/>
        <v/>
      </c>
      <c r="AO19" s="46" t="str">
        <f t="shared" si="22"/>
        <v/>
      </c>
      <c r="AP19" s="46" t="e">
        <f t="shared" si="23"/>
        <v>#VALUE!</v>
      </c>
      <c r="AQ19" s="46" t="e">
        <f t="shared" si="24"/>
        <v>#VALUE!</v>
      </c>
      <c r="AR19" s="44"/>
      <c r="AS19" s="46"/>
      <c r="AT19" s="57"/>
    </row>
    <row r="20" spans="1:46" ht="13.5">
      <c r="A20" s="54" t="str">
        <f t="shared" si="0"/>
        <v>A</v>
      </c>
      <c r="B20" s="54" t="str">
        <f>IF(H20&lt;&gt;"",IF(A20="A",HLOOKUP(H20,共通!$Q$4:$AO$11,7,FALSE),HLOOKUP(H20,共通!$Q$4:$AO$11,8,FALSE)),"")</f>
        <v/>
      </c>
      <c r="C20" s="54"/>
      <c r="D20" s="54">
        <v>0</v>
      </c>
      <c r="E20" s="38">
        <v>30</v>
      </c>
      <c r="F20" s="50">
        <v>6</v>
      </c>
      <c r="G20" s="39"/>
      <c r="H20" s="112"/>
      <c r="I20" s="110">
        <v>900</v>
      </c>
      <c r="J20" s="110">
        <v>2030</v>
      </c>
      <c r="K20" s="156"/>
      <c r="L20" s="55" t="s">
        <v>249</v>
      </c>
      <c r="M20" s="157"/>
      <c r="N20" s="131">
        <v>1</v>
      </c>
      <c r="O20" s="111"/>
      <c r="P20" s="109"/>
      <c r="Q20" s="44">
        <f t="shared" si="1"/>
        <v>0.375</v>
      </c>
      <c r="R20" s="44">
        <f t="shared" si="2"/>
        <v>0.85416666666666663</v>
      </c>
      <c r="S20" s="45">
        <f t="shared" si="3"/>
        <v>9</v>
      </c>
      <c r="T20" s="45">
        <f t="shared" si="4"/>
        <v>0</v>
      </c>
      <c r="U20" s="45">
        <f t="shared" si="5"/>
        <v>20</v>
      </c>
      <c r="V20" s="45">
        <f t="shared" si="6"/>
        <v>30</v>
      </c>
      <c r="W20" s="44" t="str">
        <f t="shared" si="7"/>
        <v/>
      </c>
      <c r="X20" s="44" t="str">
        <f t="shared" si="8"/>
        <v/>
      </c>
      <c r="Y20" s="45" t="str">
        <f t="shared" si="9"/>
        <v/>
      </c>
      <c r="Z20" s="45" t="str">
        <f t="shared" si="10"/>
        <v/>
      </c>
      <c r="AA20" s="45" t="str">
        <f t="shared" si="11"/>
        <v/>
      </c>
      <c r="AB20" s="45" t="str">
        <f t="shared" si="12"/>
        <v/>
      </c>
      <c r="AC20" s="44">
        <f>IF(AND(I20&lt;&gt;"",J20&lt;&gt;""),TIME(,timecheck1(S20,T20,U20,V20,17),),"")</f>
        <v>0.41666666666666669</v>
      </c>
      <c r="AD20" s="44">
        <f>IF(AND(I20&lt;&gt;"",J20&lt;&gt;""),TIME(,timecheck1(S20,T20,U20,V20,9),),"")</f>
        <v>0.33333333333333331</v>
      </c>
      <c r="AE20" s="44">
        <f>IF(AND(I20&lt;&gt;"",J20&lt;&gt;""),TIME(,timecheck1(S20,T20,U20,V20,0),),"")</f>
        <v>0</v>
      </c>
      <c r="AF20" s="44" t="str">
        <f t="shared" si="13"/>
        <v/>
      </c>
      <c r="AG20" s="56" t="str">
        <f t="shared" si="14"/>
        <v/>
      </c>
      <c r="AH20" s="56" t="str">
        <f t="shared" si="15"/>
        <v/>
      </c>
      <c r="AI20" s="44">
        <f t="shared" si="16"/>
        <v>6.25E-2</v>
      </c>
      <c r="AJ20" s="44">
        <f t="shared" si="17"/>
        <v>6.25E-2</v>
      </c>
      <c r="AK20" s="44">
        <f t="shared" si="18"/>
        <v>8.333333333333337E-2</v>
      </c>
      <c r="AL20" s="44" t="str">
        <f t="shared" si="19"/>
        <v/>
      </c>
      <c r="AM20" s="46">
        <f t="shared" si="20"/>
        <v>0.41666666666666669</v>
      </c>
      <c r="AN20" s="46">
        <f t="shared" si="21"/>
        <v>0.33333333333333331</v>
      </c>
      <c r="AO20" s="46">
        <f t="shared" si="22"/>
        <v>0</v>
      </c>
      <c r="AP20" s="46">
        <f t="shared" si="23"/>
        <v>0.125</v>
      </c>
      <c r="AQ20" s="46">
        <f t="shared" si="24"/>
        <v>0.20833333333333334</v>
      </c>
      <c r="AR20" s="44"/>
      <c r="AS20" s="46"/>
      <c r="AT20" s="57"/>
    </row>
    <row r="21" spans="1:46" ht="13.5">
      <c r="A21" s="54" t="str">
        <f t="shared" si="0"/>
        <v>A</v>
      </c>
      <c r="B21" s="54" t="str">
        <f>IF(H21&lt;&gt;"",IF(A21="A",HLOOKUP(H21,共通!$Q$4:$AO$11,7,FALSE),HLOOKUP(H21,共通!$Q$4:$AO$11,8,FALSE)),"")</f>
        <v/>
      </c>
      <c r="C21" s="54"/>
      <c r="D21" s="54">
        <v>0</v>
      </c>
      <c r="E21" s="38">
        <v>1</v>
      </c>
      <c r="F21" s="50">
        <v>7</v>
      </c>
      <c r="G21" s="39"/>
      <c r="H21" s="112"/>
      <c r="I21" s="110">
        <v>900</v>
      </c>
      <c r="J21" s="110">
        <v>1800</v>
      </c>
      <c r="K21" s="156"/>
      <c r="L21" s="55" t="s">
        <v>249</v>
      </c>
      <c r="M21" s="157"/>
      <c r="N21" s="131">
        <v>1</v>
      </c>
      <c r="O21" s="111"/>
      <c r="P21" s="109"/>
      <c r="Q21" s="44">
        <f t="shared" si="1"/>
        <v>0.375</v>
      </c>
      <c r="R21" s="44">
        <f t="shared" si="2"/>
        <v>0.75</v>
      </c>
      <c r="S21" s="45">
        <f t="shared" si="3"/>
        <v>9</v>
      </c>
      <c r="T21" s="45">
        <f t="shared" si="4"/>
        <v>0</v>
      </c>
      <c r="U21" s="45">
        <f t="shared" si="5"/>
        <v>18</v>
      </c>
      <c r="V21" s="45">
        <f t="shared" si="6"/>
        <v>0</v>
      </c>
      <c r="W21" s="44" t="str">
        <f t="shared" si="7"/>
        <v/>
      </c>
      <c r="X21" s="44" t="str">
        <f t="shared" si="8"/>
        <v/>
      </c>
      <c r="Y21" s="45" t="str">
        <f t="shared" si="9"/>
        <v/>
      </c>
      <c r="Z21" s="45" t="str">
        <f t="shared" si="10"/>
        <v/>
      </c>
      <c r="AA21" s="45" t="str">
        <f t="shared" si="11"/>
        <v/>
      </c>
      <c r="AB21" s="45" t="str">
        <f t="shared" si="12"/>
        <v/>
      </c>
      <c r="AC21" s="44">
        <f>IF(AND(I21&lt;&gt;"",J21&lt;&gt;""),TIME(,timecheck1(S21,T21,U21,V21,17),),"")</f>
        <v>0.33333333333333331</v>
      </c>
      <c r="AD21" s="44">
        <f>IF(AND(I21&lt;&gt;"",J21&lt;&gt;""),TIME(,timecheck1(S21,T21,U21,V21,9),),"")</f>
        <v>0.33333333333333331</v>
      </c>
      <c r="AE21" s="44">
        <f>IF(AND(I21&lt;&gt;"",J21&lt;&gt;""),TIME(,timecheck1(S21,T21,U21,V21,0),),"")</f>
        <v>0</v>
      </c>
      <c r="AF21" s="44" t="str">
        <f t="shared" si="13"/>
        <v/>
      </c>
      <c r="AG21" s="56" t="str">
        <f t="shared" si="14"/>
        <v/>
      </c>
      <c r="AH21" s="56" t="str">
        <f t="shared" si="15"/>
        <v/>
      </c>
      <c r="AI21" s="44">
        <f t="shared" si="16"/>
        <v>4.1666666666666664E-2</v>
      </c>
      <c r="AJ21" s="44">
        <f t="shared" si="17"/>
        <v>4.1666666666666664E-2</v>
      </c>
      <c r="AK21" s="44" t="str">
        <f t="shared" si="18"/>
        <v/>
      </c>
      <c r="AL21" s="44" t="str">
        <f t="shared" si="19"/>
        <v/>
      </c>
      <c r="AM21" s="46">
        <f t="shared" si="20"/>
        <v>0.33333333333333331</v>
      </c>
      <c r="AN21" s="46">
        <f t="shared" si="21"/>
        <v>0.33333333333333331</v>
      </c>
      <c r="AO21" s="46">
        <f t="shared" si="22"/>
        <v>0</v>
      </c>
      <c r="AP21" s="46">
        <f t="shared" si="23"/>
        <v>0.125</v>
      </c>
      <c r="AQ21" s="46">
        <f t="shared" si="24"/>
        <v>0.20833333333333334</v>
      </c>
      <c r="AR21" s="44"/>
      <c r="AS21" s="46"/>
      <c r="AT21" s="57"/>
    </row>
    <row r="22" spans="1:46" ht="13.5">
      <c r="A22" s="54" t="str">
        <f t="shared" si="0"/>
        <v/>
      </c>
      <c r="B22" s="54" t="str">
        <f>IF(H22&lt;&gt;"",IF(A22="A",HLOOKUP(H22,共通!$Q$4:$AO$11,7,FALSE),HLOOKUP(H22,共通!$Q$4:$AO$11,8,FALSE)),"")</f>
        <v>K</v>
      </c>
      <c r="C22" s="54"/>
      <c r="D22" s="54">
        <v>1</v>
      </c>
      <c r="E22" s="38">
        <v>2</v>
      </c>
      <c r="F22" s="50">
        <v>8</v>
      </c>
      <c r="G22" s="39"/>
      <c r="H22" s="112" t="s">
        <v>280</v>
      </c>
      <c r="I22" s="110">
        <v>1000</v>
      </c>
      <c r="J22" s="110">
        <v>2320</v>
      </c>
      <c r="K22" s="156"/>
      <c r="L22" s="55" t="s">
        <v>249</v>
      </c>
      <c r="M22" s="157"/>
      <c r="N22" s="131">
        <v>1</v>
      </c>
      <c r="O22" s="111"/>
      <c r="P22" s="109"/>
      <c r="Q22" s="44">
        <f t="shared" si="1"/>
        <v>0.41666666666666669</v>
      </c>
      <c r="R22" s="44">
        <f t="shared" si="2"/>
        <v>0.97222222222222221</v>
      </c>
      <c r="S22" s="45">
        <f t="shared" si="3"/>
        <v>10</v>
      </c>
      <c r="T22" s="45">
        <f t="shared" si="4"/>
        <v>0</v>
      </c>
      <c r="U22" s="45">
        <f t="shared" si="5"/>
        <v>23</v>
      </c>
      <c r="V22" s="45">
        <f t="shared" si="6"/>
        <v>20</v>
      </c>
      <c r="W22" s="44" t="str">
        <f t="shared" si="7"/>
        <v/>
      </c>
      <c r="X22" s="44" t="str">
        <f t="shared" si="8"/>
        <v/>
      </c>
      <c r="Y22" s="45" t="str">
        <f t="shared" si="9"/>
        <v/>
      </c>
      <c r="Z22" s="45" t="str">
        <f t="shared" si="10"/>
        <v/>
      </c>
      <c r="AA22" s="45" t="str">
        <f t="shared" si="11"/>
        <v/>
      </c>
      <c r="AB22" s="45" t="str">
        <f t="shared" si="12"/>
        <v/>
      </c>
      <c r="AC22" s="44">
        <f>IF(AND(I22&lt;&gt;"",J22&lt;&gt;""),TIME(,timecheck1(S22,T22,U22,V22,17),),"")</f>
        <v>0.47222222222222227</v>
      </c>
      <c r="AD22" s="44">
        <f>IF(AND(I22&lt;&gt;"",J22&lt;&gt;""),TIME(,timecheck1(S22,T22,U22,V22,9),),"")</f>
        <v>0.29166666666666669</v>
      </c>
      <c r="AE22" s="44">
        <f>IF(AND(I22&lt;&gt;"",J22&lt;&gt;""),TIME(,timecheck1(S22,T22,U22,V22,0),),"")</f>
        <v>5.5555555555555552E-2</v>
      </c>
      <c r="AF22" s="44" t="str">
        <f t="shared" si="13"/>
        <v/>
      </c>
      <c r="AG22" s="56" t="str">
        <f t="shared" si="14"/>
        <v/>
      </c>
      <c r="AH22" s="56" t="str">
        <f t="shared" si="15"/>
        <v/>
      </c>
      <c r="AI22" s="44">
        <f t="shared" si="16"/>
        <v>8.3333333333333329E-2</v>
      </c>
      <c r="AJ22" s="44">
        <f t="shared" si="17"/>
        <v>6.25E-2</v>
      </c>
      <c r="AK22" s="44">
        <f t="shared" si="18"/>
        <v>0.13888888888888895</v>
      </c>
      <c r="AL22" s="44" t="str">
        <f t="shared" si="19"/>
        <v/>
      </c>
      <c r="AM22" s="46">
        <f t="shared" si="20"/>
        <v>0.47222222222222227</v>
      </c>
      <c r="AN22" s="46">
        <f t="shared" si="21"/>
        <v>0.29166666666666669</v>
      </c>
      <c r="AO22" s="46">
        <f t="shared" si="22"/>
        <v>5.5555555555555552E-2</v>
      </c>
      <c r="AP22" s="46">
        <f t="shared" si="23"/>
        <v>8.3333333333333329E-2</v>
      </c>
      <c r="AQ22" s="46">
        <f t="shared" si="24"/>
        <v>0.20833333333333334</v>
      </c>
      <c r="AR22" s="44"/>
      <c r="AS22" s="46"/>
      <c r="AT22" s="57"/>
    </row>
    <row r="23" spans="1:46" ht="13.5">
      <c r="A23" s="54" t="str">
        <f t="shared" si="0"/>
        <v/>
      </c>
      <c r="B23" s="54" t="str">
        <f>IF(H23&lt;&gt;"",IF(A23="A",HLOOKUP(H23,共通!$Q$4:$AO$11,7,FALSE),HLOOKUP(H23,共通!$Q$4:$AO$11,8,FALSE)),"")</f>
        <v>K</v>
      </c>
      <c r="C23" s="54"/>
      <c r="D23" s="54">
        <v>3</v>
      </c>
      <c r="E23" s="38">
        <v>3</v>
      </c>
      <c r="F23" s="50">
        <v>2</v>
      </c>
      <c r="G23" s="39" t="s">
        <v>274</v>
      </c>
      <c r="H23" s="112" t="s">
        <v>280</v>
      </c>
      <c r="I23" s="110">
        <v>1000</v>
      </c>
      <c r="J23" s="110">
        <v>0</v>
      </c>
      <c r="K23" s="156"/>
      <c r="L23" s="55" t="s">
        <v>249</v>
      </c>
      <c r="M23" s="157"/>
      <c r="N23" s="131">
        <v>1</v>
      </c>
      <c r="O23" s="111"/>
      <c r="P23" s="109"/>
      <c r="Q23" s="44">
        <f t="shared" si="1"/>
        <v>0.41666666666666669</v>
      </c>
      <c r="R23" s="44">
        <f t="shared" si="2"/>
        <v>0</v>
      </c>
      <c r="S23" s="45">
        <f t="shared" si="3"/>
        <v>10</v>
      </c>
      <c r="T23" s="45">
        <f t="shared" si="4"/>
        <v>0</v>
      </c>
      <c r="U23" s="45">
        <f t="shared" si="5"/>
        <v>24</v>
      </c>
      <c r="V23" s="45">
        <f t="shared" si="6"/>
        <v>0</v>
      </c>
      <c r="W23" s="44" t="str">
        <f t="shared" si="7"/>
        <v/>
      </c>
      <c r="X23" s="44" t="str">
        <f t="shared" si="8"/>
        <v/>
      </c>
      <c r="Y23" s="45" t="str">
        <f t="shared" si="9"/>
        <v/>
      </c>
      <c r="Z23" s="45" t="str">
        <f t="shared" si="10"/>
        <v/>
      </c>
      <c r="AA23" s="45" t="str">
        <f t="shared" si="11"/>
        <v/>
      </c>
      <c r="AB23" s="45" t="str">
        <f t="shared" si="12"/>
        <v/>
      </c>
      <c r="AC23" s="44">
        <f>IF(AND(I23&lt;&gt;"",J23&lt;&gt;""),TIME(,timecheck1(S23,T23,U23,V23,17),),"")</f>
        <v>0.5</v>
      </c>
      <c r="AD23" s="44">
        <f>IF(AND(I23&lt;&gt;"",J23&lt;&gt;""),TIME(,timecheck1(S23,T23,U23,V23,9),),"")</f>
        <v>0.29166666666666669</v>
      </c>
      <c r="AE23" s="44">
        <f>IF(AND(I23&lt;&gt;"",J23&lt;&gt;""),TIME(,timecheck1(S23,T23,U23,V23,0),),"")</f>
        <v>8.3333333333333329E-2</v>
      </c>
      <c r="AF23" s="44" t="str">
        <f t="shared" si="13"/>
        <v/>
      </c>
      <c r="AG23" s="56" t="str">
        <f t="shared" si="14"/>
        <v/>
      </c>
      <c r="AH23" s="56" t="str">
        <f t="shared" si="15"/>
        <v/>
      </c>
      <c r="AI23" s="44">
        <f t="shared" si="16"/>
        <v>8.3333333333333329E-2</v>
      </c>
      <c r="AJ23" s="44">
        <f t="shared" si="17"/>
        <v>6.25E-2</v>
      </c>
      <c r="AK23" s="44">
        <f t="shared" si="18"/>
        <v>0.16666666666666669</v>
      </c>
      <c r="AL23" s="44" t="str">
        <f t="shared" si="19"/>
        <v/>
      </c>
      <c r="AM23" s="46">
        <f t="shared" si="20"/>
        <v>0.5</v>
      </c>
      <c r="AN23" s="46">
        <f t="shared" si="21"/>
        <v>0.29166666666666669</v>
      </c>
      <c r="AO23" s="46">
        <f t="shared" si="22"/>
        <v>8.3333333333333329E-2</v>
      </c>
      <c r="AP23" s="46">
        <f t="shared" si="23"/>
        <v>8.3333333333333329E-2</v>
      </c>
      <c r="AQ23" s="46">
        <f t="shared" si="24"/>
        <v>0.20833333333333334</v>
      </c>
      <c r="AR23" s="44"/>
      <c r="AS23" s="46"/>
      <c r="AT23" s="57"/>
    </row>
    <row r="24" spans="1:46" ht="13.5">
      <c r="A24" s="54" t="str">
        <f t="shared" si="0"/>
        <v/>
      </c>
      <c r="B24" s="54" t="str">
        <f>IF(H24&lt;&gt;"",IF(A24="A",HLOOKUP(H24,共通!$Q$4:$AO$11,7,FALSE),HLOOKUP(H24,共通!$Q$4:$AO$11,8,FALSE)),"")</f>
        <v/>
      </c>
      <c r="C24" s="54"/>
      <c r="D24" s="54">
        <v>3</v>
      </c>
      <c r="E24" s="38">
        <v>4</v>
      </c>
      <c r="F24" s="50">
        <v>3</v>
      </c>
      <c r="G24" s="39" t="s">
        <v>275</v>
      </c>
      <c r="H24" s="112"/>
      <c r="I24" s="110"/>
      <c r="J24" s="110"/>
      <c r="K24" s="156"/>
      <c r="L24" s="55" t="s">
        <v>249</v>
      </c>
      <c r="M24" s="157"/>
      <c r="N24" s="131"/>
      <c r="O24" s="111"/>
      <c r="P24" s="109"/>
      <c r="Q24" s="44" t="str">
        <f t="shared" si="1"/>
        <v/>
      </c>
      <c r="R24" s="44" t="str">
        <f t="shared" si="2"/>
        <v/>
      </c>
      <c r="S24" s="45" t="str">
        <f t="shared" si="3"/>
        <v/>
      </c>
      <c r="T24" s="45" t="str">
        <f t="shared" si="4"/>
        <v/>
      </c>
      <c r="U24" s="45" t="str">
        <f t="shared" si="5"/>
        <v/>
      </c>
      <c r="V24" s="45" t="str">
        <f t="shared" si="6"/>
        <v/>
      </c>
      <c r="W24" s="44" t="str">
        <f t="shared" si="7"/>
        <v/>
      </c>
      <c r="X24" s="44" t="str">
        <f t="shared" si="8"/>
        <v/>
      </c>
      <c r="Y24" s="45" t="str">
        <f t="shared" si="9"/>
        <v/>
      </c>
      <c r="Z24" s="45" t="str">
        <f t="shared" si="10"/>
        <v/>
      </c>
      <c r="AA24" s="45" t="str">
        <f t="shared" si="11"/>
        <v/>
      </c>
      <c r="AB24" s="45" t="str">
        <f t="shared" si="12"/>
        <v/>
      </c>
      <c r="AC24" s="44" t="str">
        <f>IF(AND(I24&lt;&gt;"",J24&lt;&gt;""),TIME(,timecheck1(S24,T24,U24,V24,17),),"")</f>
        <v/>
      </c>
      <c r="AD24" s="44" t="str">
        <f>IF(AND(I24&lt;&gt;"",J24&lt;&gt;""),TIME(,timecheck1(S24,T24,U24,V24,9),),"")</f>
        <v/>
      </c>
      <c r="AE24" s="44" t="str">
        <f>IF(AND(I24&lt;&gt;"",J24&lt;&gt;""),TIME(,timecheck1(S24,T24,U24,V24,0),),"")</f>
        <v/>
      </c>
      <c r="AF24" s="44" t="str">
        <f t="shared" si="13"/>
        <v/>
      </c>
      <c r="AG24" s="56" t="str">
        <f t="shared" si="14"/>
        <v/>
      </c>
      <c r="AH24" s="56" t="str">
        <f t="shared" si="15"/>
        <v/>
      </c>
      <c r="AI24" s="44" t="str">
        <f t="shared" si="16"/>
        <v/>
      </c>
      <c r="AJ24" s="44" t="str">
        <f t="shared" si="17"/>
        <v/>
      </c>
      <c r="AK24" s="44" t="str">
        <f t="shared" si="18"/>
        <v/>
      </c>
      <c r="AL24" s="44" t="str">
        <f t="shared" si="19"/>
        <v/>
      </c>
      <c r="AM24" s="46" t="str">
        <f t="shared" si="20"/>
        <v/>
      </c>
      <c r="AN24" s="46" t="str">
        <f t="shared" si="21"/>
        <v/>
      </c>
      <c r="AO24" s="46" t="str">
        <f t="shared" si="22"/>
        <v/>
      </c>
      <c r="AP24" s="46" t="e">
        <f t="shared" si="23"/>
        <v>#VALUE!</v>
      </c>
      <c r="AQ24" s="46" t="e">
        <f t="shared" si="24"/>
        <v>#VALUE!</v>
      </c>
      <c r="AR24" s="44"/>
      <c r="AS24" s="46"/>
      <c r="AT24" s="57"/>
    </row>
    <row r="25" spans="1:46" ht="13.5">
      <c r="A25" s="54" t="str">
        <f t="shared" si="0"/>
        <v/>
      </c>
      <c r="B25" s="54" t="str">
        <f>IF(H25&lt;&gt;"",IF(A25="A",HLOOKUP(H25,共通!$Q$4:$AO$11,7,FALSE),HLOOKUP(H25,共通!$Q$4:$AO$11,8,FALSE)),"")</f>
        <v>K</v>
      </c>
      <c r="C25" s="54"/>
      <c r="D25" s="54">
        <v>3</v>
      </c>
      <c r="E25" s="38">
        <v>5</v>
      </c>
      <c r="F25" s="50">
        <v>4</v>
      </c>
      <c r="G25" s="39" t="s">
        <v>276</v>
      </c>
      <c r="H25" s="112" t="s">
        <v>280</v>
      </c>
      <c r="I25" s="110">
        <v>1030</v>
      </c>
      <c r="J25" s="110">
        <v>130</v>
      </c>
      <c r="K25" s="156"/>
      <c r="L25" s="55" t="s">
        <v>249</v>
      </c>
      <c r="M25" s="157"/>
      <c r="N25" s="131">
        <v>1</v>
      </c>
      <c r="O25" s="111"/>
      <c r="P25" s="109"/>
      <c r="Q25" s="44">
        <f t="shared" si="1"/>
        <v>0.4375</v>
      </c>
      <c r="R25" s="44">
        <f t="shared" si="2"/>
        <v>6.25E-2</v>
      </c>
      <c r="S25" s="45">
        <f t="shared" si="3"/>
        <v>10</v>
      </c>
      <c r="T25" s="45">
        <f t="shared" si="4"/>
        <v>30</v>
      </c>
      <c r="U25" s="45">
        <f t="shared" si="5"/>
        <v>25</v>
      </c>
      <c r="V25" s="45">
        <f t="shared" si="6"/>
        <v>30</v>
      </c>
      <c r="W25" s="44" t="str">
        <f t="shared" si="7"/>
        <v/>
      </c>
      <c r="X25" s="44" t="str">
        <f t="shared" si="8"/>
        <v/>
      </c>
      <c r="Y25" s="45" t="str">
        <f t="shared" si="9"/>
        <v/>
      </c>
      <c r="Z25" s="45" t="str">
        <f t="shared" si="10"/>
        <v/>
      </c>
      <c r="AA25" s="45" t="str">
        <f t="shared" si="11"/>
        <v/>
      </c>
      <c r="AB25" s="45" t="str">
        <f t="shared" si="12"/>
        <v/>
      </c>
      <c r="AC25" s="44">
        <f>IF(AND(I25&lt;&gt;"",J25&lt;&gt;""),TIME(,timecheck1(S25,T25,U25,V25,17),),"")</f>
        <v>0.52083333333333337</v>
      </c>
      <c r="AD25" s="44">
        <f>IF(AND(I25&lt;&gt;"",J25&lt;&gt;""),TIME(,timecheck1(S25,T25,U25,V25,9),),"")</f>
        <v>0.27083333333333331</v>
      </c>
      <c r="AE25" s="44">
        <f>IF(AND(I25&lt;&gt;"",J25&lt;&gt;""),TIME(,timecheck1(S25,T25,U25,V25,0),),"")</f>
        <v>0.125</v>
      </c>
      <c r="AF25" s="44" t="str">
        <f t="shared" si="13"/>
        <v/>
      </c>
      <c r="AG25" s="56" t="str">
        <f t="shared" si="14"/>
        <v/>
      </c>
      <c r="AH25" s="56" t="str">
        <f t="shared" si="15"/>
        <v/>
      </c>
      <c r="AI25" s="44">
        <f t="shared" si="16"/>
        <v>0.10416666666666667</v>
      </c>
      <c r="AJ25" s="44">
        <f t="shared" si="17"/>
        <v>6.25E-2</v>
      </c>
      <c r="AK25" s="44">
        <f t="shared" si="18"/>
        <v>0.18750000000000006</v>
      </c>
      <c r="AL25" s="44" t="str">
        <f t="shared" si="19"/>
        <v/>
      </c>
      <c r="AM25" s="46">
        <f t="shared" si="20"/>
        <v>0.52083333333333337</v>
      </c>
      <c r="AN25" s="46">
        <f t="shared" si="21"/>
        <v>0.27083333333333331</v>
      </c>
      <c r="AO25" s="46">
        <f t="shared" si="22"/>
        <v>0.125</v>
      </c>
      <c r="AP25" s="46">
        <f t="shared" si="23"/>
        <v>6.25E-2</v>
      </c>
      <c r="AQ25" s="46">
        <f t="shared" si="24"/>
        <v>0.20833333333333334</v>
      </c>
      <c r="AR25" s="44"/>
      <c r="AS25" s="46"/>
      <c r="AT25" s="57"/>
    </row>
    <row r="26" spans="1:46" ht="13.5">
      <c r="A26" s="54" t="str">
        <f t="shared" si="0"/>
        <v/>
      </c>
      <c r="B26" s="54" t="str">
        <f>IF(H26&lt;&gt;"",IF(A26="A",HLOOKUP(H26,共通!$Q$4:$AO$11,7,FALSE),HLOOKUP(H26,共通!$Q$4:$AO$11,8,FALSE)),"")</f>
        <v/>
      </c>
      <c r="C26" s="54"/>
      <c r="D26" s="54">
        <v>4</v>
      </c>
      <c r="E26" s="38">
        <v>6</v>
      </c>
      <c r="F26" s="50">
        <v>5</v>
      </c>
      <c r="G26" s="39" t="s">
        <v>277</v>
      </c>
      <c r="H26" s="112"/>
      <c r="I26" s="110"/>
      <c r="J26" s="110"/>
      <c r="K26" s="156"/>
      <c r="L26" s="55" t="s">
        <v>249</v>
      </c>
      <c r="M26" s="157"/>
      <c r="N26" s="131"/>
      <c r="O26" s="111"/>
      <c r="P26" s="109"/>
      <c r="Q26" s="44" t="str">
        <f t="shared" si="1"/>
        <v/>
      </c>
      <c r="R26" s="44" t="str">
        <f t="shared" si="2"/>
        <v/>
      </c>
      <c r="S26" s="45" t="str">
        <f t="shared" si="3"/>
        <v/>
      </c>
      <c r="T26" s="45" t="str">
        <f t="shared" si="4"/>
        <v/>
      </c>
      <c r="U26" s="45" t="str">
        <f t="shared" si="5"/>
        <v/>
      </c>
      <c r="V26" s="45" t="str">
        <f t="shared" si="6"/>
        <v/>
      </c>
      <c r="W26" s="44" t="str">
        <f t="shared" si="7"/>
        <v/>
      </c>
      <c r="X26" s="44" t="str">
        <f t="shared" si="8"/>
        <v/>
      </c>
      <c r="Y26" s="45" t="str">
        <f t="shared" si="9"/>
        <v/>
      </c>
      <c r="Z26" s="45" t="str">
        <f t="shared" si="10"/>
        <v/>
      </c>
      <c r="AA26" s="45" t="str">
        <f t="shared" si="11"/>
        <v/>
      </c>
      <c r="AB26" s="45" t="str">
        <f t="shared" si="12"/>
        <v/>
      </c>
      <c r="AC26" s="44" t="str">
        <f>IF(AND(I26&lt;&gt;"",J26&lt;&gt;""),TIME(,timecheck1(S26,T26,U26,V26,17),),"")</f>
        <v/>
      </c>
      <c r="AD26" s="44" t="str">
        <f>IF(AND(I26&lt;&gt;"",J26&lt;&gt;""),TIME(,timecheck1(S26,T26,U26,V26,9),),"")</f>
        <v/>
      </c>
      <c r="AE26" s="44" t="str">
        <f>IF(AND(I26&lt;&gt;"",J26&lt;&gt;""),TIME(,timecheck1(S26,T26,U26,V26,0),),"")</f>
        <v/>
      </c>
      <c r="AF26" s="44" t="str">
        <f t="shared" si="13"/>
        <v/>
      </c>
      <c r="AG26" s="56" t="str">
        <f t="shared" si="14"/>
        <v/>
      </c>
      <c r="AH26" s="56" t="str">
        <f t="shared" si="15"/>
        <v/>
      </c>
      <c r="AI26" s="44" t="str">
        <f t="shared" si="16"/>
        <v/>
      </c>
      <c r="AJ26" s="44" t="str">
        <f t="shared" si="17"/>
        <v/>
      </c>
      <c r="AK26" s="44" t="str">
        <f t="shared" si="18"/>
        <v/>
      </c>
      <c r="AL26" s="44" t="str">
        <f t="shared" si="19"/>
        <v/>
      </c>
      <c r="AM26" s="46" t="str">
        <f t="shared" si="20"/>
        <v/>
      </c>
      <c r="AN26" s="46" t="str">
        <f t="shared" si="21"/>
        <v/>
      </c>
      <c r="AO26" s="46" t="str">
        <f t="shared" si="22"/>
        <v/>
      </c>
      <c r="AP26" s="46" t="e">
        <f t="shared" si="23"/>
        <v>#VALUE!</v>
      </c>
      <c r="AQ26" s="46" t="e">
        <f t="shared" si="24"/>
        <v>#VALUE!</v>
      </c>
      <c r="AR26" s="44"/>
      <c r="AS26" s="46"/>
      <c r="AT26" s="57"/>
    </row>
    <row r="27" spans="1:46" ht="13.5">
      <c r="A27" s="54" t="str">
        <f t="shared" si="0"/>
        <v>A</v>
      </c>
      <c r="B27" s="54" t="str">
        <f>IF(H27&lt;&gt;"",IF(A27="A",HLOOKUP(H27,共通!$Q$4:$AO$11,7,FALSE),HLOOKUP(H27,共通!$Q$4:$AO$11,8,FALSE)),"")</f>
        <v/>
      </c>
      <c r="C27" s="54"/>
      <c r="D27" s="54">
        <v>0</v>
      </c>
      <c r="E27" s="38">
        <v>7</v>
      </c>
      <c r="F27" s="50">
        <v>6</v>
      </c>
      <c r="G27" s="39"/>
      <c r="H27" s="112"/>
      <c r="I27" s="110">
        <v>1030</v>
      </c>
      <c r="J27" s="110">
        <v>1830</v>
      </c>
      <c r="K27" s="156"/>
      <c r="L27" s="55" t="s">
        <v>249</v>
      </c>
      <c r="M27" s="157"/>
      <c r="N27" s="131">
        <v>1</v>
      </c>
      <c r="O27" s="111"/>
      <c r="P27" s="109"/>
      <c r="Q27" s="44">
        <f t="shared" si="1"/>
        <v>0.4375</v>
      </c>
      <c r="R27" s="44">
        <f t="shared" si="2"/>
        <v>0.77083333333333337</v>
      </c>
      <c r="S27" s="45">
        <f t="shared" si="3"/>
        <v>10</v>
      </c>
      <c r="T27" s="45">
        <f t="shared" si="4"/>
        <v>30</v>
      </c>
      <c r="U27" s="45">
        <f t="shared" si="5"/>
        <v>18</v>
      </c>
      <c r="V27" s="45">
        <f t="shared" si="6"/>
        <v>30</v>
      </c>
      <c r="W27" s="44" t="str">
        <f t="shared" si="7"/>
        <v/>
      </c>
      <c r="X27" s="44" t="str">
        <f t="shared" si="8"/>
        <v/>
      </c>
      <c r="Y27" s="45" t="str">
        <f t="shared" si="9"/>
        <v/>
      </c>
      <c r="Z27" s="45" t="str">
        <f t="shared" si="10"/>
        <v/>
      </c>
      <c r="AA27" s="45" t="str">
        <f t="shared" si="11"/>
        <v/>
      </c>
      <c r="AB27" s="45" t="str">
        <f t="shared" si="12"/>
        <v/>
      </c>
      <c r="AC27" s="44">
        <f>IF(AND(I27&lt;&gt;"",J27&lt;&gt;""),TIME(,timecheck1(S27,T27,U27,V27,17),),"")</f>
        <v>0.27083333333333331</v>
      </c>
      <c r="AD27" s="44">
        <f>IF(AND(I27&lt;&gt;"",J27&lt;&gt;""),TIME(,timecheck1(S27,T27,U27,V27,9),),"")</f>
        <v>0.27083333333333331</v>
      </c>
      <c r="AE27" s="44">
        <f>IF(AND(I27&lt;&gt;"",J27&lt;&gt;""),TIME(,timecheck1(S27,T27,U27,V27,0),),"")</f>
        <v>0</v>
      </c>
      <c r="AF27" s="44" t="str">
        <f t="shared" si="13"/>
        <v/>
      </c>
      <c r="AG27" s="56" t="str">
        <f t="shared" si="14"/>
        <v/>
      </c>
      <c r="AH27" s="56" t="str">
        <f t="shared" si="15"/>
        <v/>
      </c>
      <c r="AI27" s="44">
        <f t="shared" si="16"/>
        <v>6.25E-2</v>
      </c>
      <c r="AJ27" s="44">
        <f t="shared" si="17"/>
        <v>6.25E-2</v>
      </c>
      <c r="AK27" s="44">
        <f t="shared" si="18"/>
        <v>-6.25E-2</v>
      </c>
      <c r="AL27" s="44" t="str">
        <f t="shared" si="19"/>
        <v/>
      </c>
      <c r="AM27" s="46">
        <f t="shared" si="20"/>
        <v>0.27083333333333331</v>
      </c>
      <c r="AN27" s="46">
        <f t="shared" si="21"/>
        <v>0.27083333333333331</v>
      </c>
      <c r="AO27" s="46">
        <f t="shared" si="22"/>
        <v>0</v>
      </c>
      <c r="AP27" s="46">
        <f t="shared" si="23"/>
        <v>6.25E-2</v>
      </c>
      <c r="AQ27" s="46">
        <f t="shared" si="24"/>
        <v>0.20833333333333334</v>
      </c>
      <c r="AR27" s="44"/>
      <c r="AS27" s="46"/>
      <c r="AT27" s="57"/>
    </row>
    <row r="28" spans="1:46" ht="13.5">
      <c r="A28" s="54" t="str">
        <f t="shared" si="0"/>
        <v>A</v>
      </c>
      <c r="B28" s="54" t="str">
        <f>IF(H28&lt;&gt;"",IF(A28="A",HLOOKUP(H28,共通!$Q$4:$AO$11,7,FALSE),HLOOKUP(H28,共通!$Q$4:$AO$11,8,FALSE)),"")</f>
        <v/>
      </c>
      <c r="C28" s="54"/>
      <c r="D28" s="54">
        <v>0</v>
      </c>
      <c r="E28" s="38">
        <v>8</v>
      </c>
      <c r="F28" s="50">
        <v>7</v>
      </c>
      <c r="G28" s="39"/>
      <c r="H28" s="112"/>
      <c r="I28" s="110">
        <v>900</v>
      </c>
      <c r="J28" s="110">
        <v>1900</v>
      </c>
      <c r="K28" s="156"/>
      <c r="L28" s="55" t="s">
        <v>249</v>
      </c>
      <c r="M28" s="157"/>
      <c r="N28" s="131">
        <v>1</v>
      </c>
      <c r="O28" s="111"/>
      <c r="P28" s="109"/>
      <c r="Q28" s="44">
        <f t="shared" si="1"/>
        <v>0.375</v>
      </c>
      <c r="R28" s="44">
        <f t="shared" si="2"/>
        <v>0.79166666666666663</v>
      </c>
      <c r="S28" s="45">
        <f t="shared" si="3"/>
        <v>9</v>
      </c>
      <c r="T28" s="45">
        <f t="shared" si="4"/>
        <v>0</v>
      </c>
      <c r="U28" s="45">
        <f t="shared" si="5"/>
        <v>19</v>
      </c>
      <c r="V28" s="45">
        <f t="shared" si="6"/>
        <v>0</v>
      </c>
      <c r="W28" s="44" t="str">
        <f t="shared" si="7"/>
        <v/>
      </c>
      <c r="X28" s="44" t="str">
        <f t="shared" si="8"/>
        <v/>
      </c>
      <c r="Y28" s="45" t="str">
        <f t="shared" si="9"/>
        <v/>
      </c>
      <c r="Z28" s="45" t="str">
        <f t="shared" si="10"/>
        <v/>
      </c>
      <c r="AA28" s="45" t="str">
        <f t="shared" si="11"/>
        <v/>
      </c>
      <c r="AB28" s="45" t="str">
        <f t="shared" si="12"/>
        <v/>
      </c>
      <c r="AC28" s="44">
        <f>IF(AND(I28&lt;&gt;"",J28&lt;&gt;""),TIME(,timecheck1(S28,T28,U28,V28,17),),"")</f>
        <v>0.35416666666666669</v>
      </c>
      <c r="AD28" s="44">
        <f>IF(AND(I28&lt;&gt;"",J28&lt;&gt;""),TIME(,timecheck1(S28,T28,U28,V28,9),),"")</f>
        <v>0.33333333333333331</v>
      </c>
      <c r="AE28" s="44">
        <f>IF(AND(I28&lt;&gt;"",J28&lt;&gt;""),TIME(,timecheck1(S28,T28,U28,V28,0),),"")</f>
        <v>0</v>
      </c>
      <c r="AF28" s="44" t="str">
        <f t="shared" si="13"/>
        <v/>
      </c>
      <c r="AG28" s="56" t="str">
        <f t="shared" si="14"/>
        <v/>
      </c>
      <c r="AH28" s="56" t="str">
        <f t="shared" si="15"/>
        <v/>
      </c>
      <c r="AI28" s="44">
        <f t="shared" si="16"/>
        <v>6.25E-2</v>
      </c>
      <c r="AJ28" s="44">
        <f t="shared" si="17"/>
        <v>6.25E-2</v>
      </c>
      <c r="AK28" s="44">
        <f t="shared" si="18"/>
        <v>2.083333333333337E-2</v>
      </c>
      <c r="AL28" s="44" t="str">
        <f t="shared" si="19"/>
        <v/>
      </c>
      <c r="AM28" s="46">
        <f t="shared" si="20"/>
        <v>0.35416666666666669</v>
      </c>
      <c r="AN28" s="46">
        <f t="shared" si="21"/>
        <v>0.33333333333333331</v>
      </c>
      <c r="AO28" s="46">
        <f t="shared" si="22"/>
        <v>0</v>
      </c>
      <c r="AP28" s="46">
        <f t="shared" si="23"/>
        <v>0.125</v>
      </c>
      <c r="AQ28" s="46">
        <f t="shared" si="24"/>
        <v>0.20833333333333334</v>
      </c>
      <c r="AR28" s="44"/>
      <c r="AS28" s="46"/>
      <c r="AT28" s="57"/>
    </row>
    <row r="29" spans="1:46" ht="13.5">
      <c r="A29" s="54" t="str">
        <f t="shared" si="0"/>
        <v/>
      </c>
      <c r="B29" s="54" t="str">
        <f>IF(H29&lt;&gt;"",IF(A29="A",HLOOKUP(H29,共通!$Q$4:$AO$11,7,FALSE),HLOOKUP(H29,共通!$Q$4:$AO$11,8,FALSE)),"")</f>
        <v/>
      </c>
      <c r="C29" s="54"/>
      <c r="D29" s="54">
        <v>1</v>
      </c>
      <c r="E29" s="38">
        <v>9</v>
      </c>
      <c r="F29" s="50">
        <v>8</v>
      </c>
      <c r="G29" s="39"/>
      <c r="H29" s="112"/>
      <c r="I29" s="110"/>
      <c r="J29" s="110"/>
      <c r="K29" s="156"/>
      <c r="L29" s="55" t="s">
        <v>249</v>
      </c>
      <c r="M29" s="157"/>
      <c r="N29" s="131"/>
      <c r="O29" s="111"/>
      <c r="P29" s="109"/>
      <c r="Q29" s="44" t="str">
        <f t="shared" si="1"/>
        <v/>
      </c>
      <c r="R29" s="44" t="str">
        <f t="shared" si="2"/>
        <v/>
      </c>
      <c r="S29" s="45" t="str">
        <f t="shared" si="3"/>
        <v/>
      </c>
      <c r="T29" s="45" t="str">
        <f t="shared" si="4"/>
        <v/>
      </c>
      <c r="U29" s="45" t="str">
        <f t="shared" si="5"/>
        <v/>
      </c>
      <c r="V29" s="45" t="str">
        <f t="shared" si="6"/>
        <v/>
      </c>
      <c r="W29" s="44" t="str">
        <f t="shared" si="7"/>
        <v/>
      </c>
      <c r="X29" s="44" t="str">
        <f t="shared" si="8"/>
        <v/>
      </c>
      <c r="Y29" s="45" t="str">
        <f t="shared" si="9"/>
        <v/>
      </c>
      <c r="Z29" s="45" t="str">
        <f t="shared" si="10"/>
        <v/>
      </c>
      <c r="AA29" s="45" t="str">
        <f t="shared" si="11"/>
        <v/>
      </c>
      <c r="AB29" s="45" t="str">
        <f t="shared" si="12"/>
        <v/>
      </c>
      <c r="AC29" s="44" t="str">
        <f>IF(AND(I29&lt;&gt;"",J29&lt;&gt;""),TIME(,timecheck1(S29,T29,U29,V29,17),),"")</f>
        <v/>
      </c>
      <c r="AD29" s="44" t="str">
        <f>IF(AND(I29&lt;&gt;"",J29&lt;&gt;""),TIME(,timecheck1(S29,T29,U29,V29,9),),"")</f>
        <v/>
      </c>
      <c r="AE29" s="44" t="str">
        <f>IF(AND(I29&lt;&gt;"",J29&lt;&gt;""),TIME(,timecheck1(S29,T29,U29,V29,0),),"")</f>
        <v/>
      </c>
      <c r="AF29" s="44" t="str">
        <f t="shared" si="13"/>
        <v/>
      </c>
      <c r="AG29" s="56" t="str">
        <f t="shared" si="14"/>
        <v/>
      </c>
      <c r="AH29" s="56" t="str">
        <f t="shared" si="15"/>
        <v/>
      </c>
      <c r="AI29" s="44" t="str">
        <f t="shared" si="16"/>
        <v/>
      </c>
      <c r="AJ29" s="44" t="str">
        <f t="shared" si="17"/>
        <v/>
      </c>
      <c r="AK29" s="44" t="str">
        <f t="shared" si="18"/>
        <v/>
      </c>
      <c r="AL29" s="44" t="str">
        <f t="shared" si="19"/>
        <v/>
      </c>
      <c r="AM29" s="46" t="str">
        <f t="shared" si="20"/>
        <v/>
      </c>
      <c r="AN29" s="46" t="str">
        <f t="shared" si="21"/>
        <v/>
      </c>
      <c r="AO29" s="46" t="str">
        <f t="shared" si="22"/>
        <v/>
      </c>
      <c r="AP29" s="46" t="e">
        <f t="shared" si="23"/>
        <v>#VALUE!</v>
      </c>
      <c r="AQ29" s="46" t="e">
        <f t="shared" si="24"/>
        <v>#VALUE!</v>
      </c>
      <c r="AR29" s="44"/>
      <c r="AS29" s="46"/>
      <c r="AT29" s="57"/>
    </row>
    <row r="30" spans="1:46" ht="13.5">
      <c r="A30" s="54" t="str">
        <f t="shared" si="0"/>
        <v/>
      </c>
      <c r="B30" s="54" t="str">
        <f>IF(H30&lt;&gt;"",IF(A30="A",HLOOKUP(H30,共通!$Q$4:$AO$11,7,FALSE),HLOOKUP(H30,共通!$Q$4:$AO$11,8,FALSE)),"")</f>
        <v/>
      </c>
      <c r="C30" s="54"/>
      <c r="D30" s="54">
        <v>2</v>
      </c>
      <c r="E30" s="38">
        <v>10</v>
      </c>
      <c r="F30" s="50">
        <v>2</v>
      </c>
      <c r="G30" s="39"/>
      <c r="H30" s="112"/>
      <c r="I30" s="110"/>
      <c r="J30" s="110"/>
      <c r="K30" s="156"/>
      <c r="L30" s="55" t="s">
        <v>249</v>
      </c>
      <c r="M30" s="157"/>
      <c r="N30" s="131"/>
      <c r="O30" s="111"/>
      <c r="P30" s="109"/>
      <c r="Q30" s="44" t="str">
        <f t="shared" si="1"/>
        <v/>
      </c>
      <c r="R30" s="44" t="str">
        <f t="shared" si="2"/>
        <v/>
      </c>
      <c r="S30" s="45" t="str">
        <f t="shared" si="3"/>
        <v/>
      </c>
      <c r="T30" s="45" t="str">
        <f t="shared" si="4"/>
        <v/>
      </c>
      <c r="U30" s="45" t="str">
        <f t="shared" si="5"/>
        <v/>
      </c>
      <c r="V30" s="45" t="str">
        <f t="shared" si="6"/>
        <v/>
      </c>
      <c r="W30" s="44" t="str">
        <f t="shared" si="7"/>
        <v/>
      </c>
      <c r="X30" s="44" t="str">
        <f t="shared" si="8"/>
        <v/>
      </c>
      <c r="Y30" s="45" t="str">
        <f t="shared" si="9"/>
        <v/>
      </c>
      <c r="Z30" s="45" t="str">
        <f t="shared" si="10"/>
        <v/>
      </c>
      <c r="AA30" s="45" t="str">
        <f t="shared" si="11"/>
        <v/>
      </c>
      <c r="AB30" s="45" t="str">
        <f t="shared" si="12"/>
        <v/>
      </c>
      <c r="AC30" s="44" t="str">
        <f>IF(AND(I30&lt;&gt;"",J30&lt;&gt;""),TIME(,timecheck1(S30,T30,U30,V30,17),),"")</f>
        <v/>
      </c>
      <c r="AD30" s="44" t="str">
        <f>IF(AND(I30&lt;&gt;"",J30&lt;&gt;""),TIME(,timecheck1(S30,T30,U30,V30,9),),"")</f>
        <v/>
      </c>
      <c r="AE30" s="44" t="str">
        <f>IF(AND(I30&lt;&gt;"",J30&lt;&gt;""),TIME(,timecheck1(S30,T30,U30,V30,0),),"")</f>
        <v/>
      </c>
      <c r="AF30" s="44" t="str">
        <f t="shared" si="13"/>
        <v/>
      </c>
      <c r="AG30" s="56" t="str">
        <f t="shared" si="14"/>
        <v/>
      </c>
      <c r="AH30" s="56" t="str">
        <f t="shared" si="15"/>
        <v/>
      </c>
      <c r="AI30" s="44" t="str">
        <f t="shared" si="16"/>
        <v/>
      </c>
      <c r="AJ30" s="44" t="str">
        <f t="shared" si="17"/>
        <v/>
      </c>
      <c r="AK30" s="44" t="str">
        <f t="shared" si="18"/>
        <v/>
      </c>
      <c r="AL30" s="44" t="str">
        <f t="shared" si="19"/>
        <v/>
      </c>
      <c r="AM30" s="46" t="str">
        <f t="shared" si="20"/>
        <v/>
      </c>
      <c r="AN30" s="46" t="str">
        <f t="shared" si="21"/>
        <v/>
      </c>
      <c r="AO30" s="46" t="str">
        <f t="shared" si="22"/>
        <v/>
      </c>
      <c r="AP30" s="46" t="e">
        <f t="shared" si="23"/>
        <v>#VALUE!</v>
      </c>
      <c r="AQ30" s="46" t="e">
        <f t="shared" si="24"/>
        <v>#VALUE!</v>
      </c>
      <c r="AR30" s="44"/>
      <c r="AS30" s="46"/>
      <c r="AT30" s="57"/>
    </row>
    <row r="31" spans="1:46" ht="13.5">
      <c r="A31" s="54" t="str">
        <f t="shared" si="0"/>
        <v>A</v>
      </c>
      <c r="B31" s="54" t="str">
        <f>IF(H31&lt;&gt;"",IF(A31="A",HLOOKUP(H31,共通!$Q$4:$AO$11,7,FALSE),HLOOKUP(H31,共通!$Q$4:$AO$11,8,FALSE)),"")</f>
        <v/>
      </c>
      <c r="C31" s="54"/>
      <c r="D31" s="54">
        <v>0</v>
      </c>
      <c r="E31" s="38">
        <v>11</v>
      </c>
      <c r="F31" s="50">
        <v>3</v>
      </c>
      <c r="G31" s="39"/>
      <c r="H31" s="112"/>
      <c r="I31" s="110">
        <v>1000</v>
      </c>
      <c r="J31" s="110">
        <v>1930</v>
      </c>
      <c r="K31" s="156"/>
      <c r="L31" s="55" t="s">
        <v>249</v>
      </c>
      <c r="M31" s="157"/>
      <c r="N31" s="131">
        <v>1</v>
      </c>
      <c r="O31" s="111"/>
      <c r="P31" s="109"/>
      <c r="Q31" s="44">
        <f t="shared" si="1"/>
        <v>0.41666666666666669</v>
      </c>
      <c r="R31" s="44">
        <f t="shared" si="2"/>
        <v>0.8125</v>
      </c>
      <c r="S31" s="45">
        <f t="shared" si="3"/>
        <v>10</v>
      </c>
      <c r="T31" s="45">
        <f t="shared" si="4"/>
        <v>0</v>
      </c>
      <c r="U31" s="45">
        <f t="shared" si="5"/>
        <v>19</v>
      </c>
      <c r="V31" s="45">
        <f t="shared" si="6"/>
        <v>30</v>
      </c>
      <c r="W31" s="44" t="str">
        <f t="shared" si="7"/>
        <v/>
      </c>
      <c r="X31" s="44" t="str">
        <f t="shared" si="8"/>
        <v/>
      </c>
      <c r="Y31" s="45" t="str">
        <f t="shared" si="9"/>
        <v/>
      </c>
      <c r="Z31" s="45" t="str">
        <f t="shared" si="10"/>
        <v/>
      </c>
      <c r="AA31" s="45" t="str">
        <f t="shared" si="11"/>
        <v/>
      </c>
      <c r="AB31" s="45" t="str">
        <f t="shared" si="12"/>
        <v/>
      </c>
      <c r="AC31" s="44">
        <f>IF(AND(I31&lt;&gt;"",J31&lt;&gt;""),TIME(,timecheck1(S31,T31,U31,V31,17),),"")</f>
        <v>0.33333333333333331</v>
      </c>
      <c r="AD31" s="44">
        <f>IF(AND(I31&lt;&gt;"",J31&lt;&gt;""),TIME(,timecheck1(S31,T31,U31,V31,9),),"")</f>
        <v>0.29166666666666669</v>
      </c>
      <c r="AE31" s="44">
        <f>IF(AND(I31&lt;&gt;"",J31&lt;&gt;""),TIME(,timecheck1(S31,T31,U31,V31,0),),"")</f>
        <v>0</v>
      </c>
      <c r="AF31" s="44" t="str">
        <f t="shared" si="13"/>
        <v/>
      </c>
      <c r="AG31" s="56" t="str">
        <f t="shared" si="14"/>
        <v/>
      </c>
      <c r="AH31" s="56" t="str">
        <f t="shared" si="15"/>
        <v/>
      </c>
      <c r="AI31" s="44">
        <f t="shared" si="16"/>
        <v>6.25E-2</v>
      </c>
      <c r="AJ31" s="44">
        <f t="shared" si="17"/>
        <v>6.25E-2</v>
      </c>
      <c r="AK31" s="44" t="str">
        <f t="shared" si="18"/>
        <v/>
      </c>
      <c r="AL31" s="44" t="str">
        <f t="shared" si="19"/>
        <v/>
      </c>
      <c r="AM31" s="46">
        <f t="shared" si="20"/>
        <v>0.33333333333333331</v>
      </c>
      <c r="AN31" s="46">
        <f t="shared" si="21"/>
        <v>0.29166666666666669</v>
      </c>
      <c r="AO31" s="46">
        <f t="shared" si="22"/>
        <v>0</v>
      </c>
      <c r="AP31" s="46">
        <f t="shared" si="23"/>
        <v>8.3333333333333329E-2</v>
      </c>
      <c r="AQ31" s="46">
        <f t="shared" si="24"/>
        <v>0.20833333333333334</v>
      </c>
      <c r="AR31" s="44"/>
      <c r="AS31" s="46"/>
      <c r="AT31" s="57"/>
    </row>
    <row r="32" spans="1:46" ht="13.5">
      <c r="A32" s="54" t="str">
        <f t="shared" si="0"/>
        <v>A</v>
      </c>
      <c r="B32" s="54" t="str">
        <f>IF(H32&lt;&gt;"",IF(A32="A",HLOOKUP(H32,共通!$Q$4:$AO$11,7,FALSE),HLOOKUP(H32,共通!$Q$4:$AO$11,8,FALSE)),"")</f>
        <v/>
      </c>
      <c r="C32" s="54"/>
      <c r="D32" s="54">
        <v>0</v>
      </c>
      <c r="E32" s="38">
        <v>12</v>
      </c>
      <c r="F32" s="50">
        <v>4</v>
      </c>
      <c r="G32" s="39"/>
      <c r="H32" s="112"/>
      <c r="I32" s="110">
        <v>1000</v>
      </c>
      <c r="J32" s="110">
        <v>2230</v>
      </c>
      <c r="K32" s="156"/>
      <c r="L32" s="55" t="s">
        <v>249</v>
      </c>
      <c r="M32" s="157"/>
      <c r="N32" s="131">
        <v>1</v>
      </c>
      <c r="O32" s="111"/>
      <c r="P32" s="109"/>
      <c r="Q32" s="44">
        <f t="shared" si="1"/>
        <v>0.41666666666666669</v>
      </c>
      <c r="R32" s="44">
        <f t="shared" si="2"/>
        <v>0.9375</v>
      </c>
      <c r="S32" s="45">
        <f>IF(I32="","",IF(I32&lt;800,TRUNC((I32+2400)/100),TRUNC(I32/100)))</f>
        <v>10</v>
      </c>
      <c r="T32" s="45">
        <f t="shared" si="4"/>
        <v>0</v>
      </c>
      <c r="U32" s="45">
        <f>IF(J32="","",IF(J32&lt;900,TRUNC((J32+2400)/100),TRUNC(J32/100)))</f>
        <v>22</v>
      </c>
      <c r="V32" s="45">
        <f>IF(J32="","",MOD(J32,100))</f>
        <v>30</v>
      </c>
      <c r="W32" s="44" t="str">
        <f t="shared" si="7"/>
        <v/>
      </c>
      <c r="X32" s="44" t="str">
        <f t="shared" si="8"/>
        <v/>
      </c>
      <c r="Y32" s="45" t="str">
        <f t="shared" si="9"/>
        <v/>
      </c>
      <c r="Z32" s="45" t="str">
        <f t="shared" si="10"/>
        <v/>
      </c>
      <c r="AA32" s="45" t="str">
        <f t="shared" si="11"/>
        <v/>
      </c>
      <c r="AB32" s="45" t="str">
        <f t="shared" si="12"/>
        <v/>
      </c>
      <c r="AC32" s="44">
        <f>IF(AND(I32&lt;&gt;"",J32&lt;&gt;""),TIME(,timecheck1(S32,T32,U32,V32,17),),"")</f>
        <v>0.4375</v>
      </c>
      <c r="AD32" s="44">
        <f>IF(AND(I32&lt;&gt;"",J32&lt;&gt;""),TIME(,timecheck1(S32,T32,U32,V32,9),),"")</f>
        <v>0.29166666666666669</v>
      </c>
      <c r="AE32" s="44">
        <f>IF(AND(I32&lt;&gt;"",J32&lt;&gt;""),TIME(,timecheck1(S32,T32,U32,V32,0),),"")</f>
        <v>2.0833333333333332E-2</v>
      </c>
      <c r="AF32" s="44" t="str">
        <f t="shared" si="13"/>
        <v/>
      </c>
      <c r="AG32" s="56" t="str">
        <f t="shared" si="14"/>
        <v/>
      </c>
      <c r="AH32" s="56" t="str">
        <f t="shared" si="15"/>
        <v/>
      </c>
      <c r="AI32" s="44">
        <f>IF(AND(I32&lt;&gt;"",J32&lt;&gt;""),TIME(,timecheck2(S32,T32,U32,V32,17),),"")</f>
        <v>8.3333333333333329E-2</v>
      </c>
      <c r="AJ32" s="44">
        <f>IF(AND(I32&lt;&gt;"",J32&lt;&gt;""),TIME(,timecheck2(S32,T32,U32,V32,9),),"")</f>
        <v>6.25E-2</v>
      </c>
      <c r="AK32" s="44">
        <f>IF(AND(AM32&lt;&gt;"",OR(B32="",B32="B",B32="I",B32="K",B32="L",B32="M"),AM32&lt;&gt;TIME(8,0,0)),AM32-TIME(8,0,0),IF(B32="E",-TIME(8,0,0),""))</f>
        <v>0.10416666666666669</v>
      </c>
      <c r="AL32" s="44" t="str">
        <f t="shared" si="19"/>
        <v/>
      </c>
      <c r="AM32" s="46">
        <f>IF(AC32&lt;&gt;"",IF(AF32&lt;&gt;"",AC32-AF32,AC32),"")</f>
        <v>0.4375</v>
      </c>
      <c r="AN32" s="46">
        <f t="shared" si="21"/>
        <v>0.29166666666666669</v>
      </c>
      <c r="AO32" s="46">
        <f>IF(AE32&lt;&gt;"",IF(AH32&lt;&gt;"",AE32-AH32,AE32),"")</f>
        <v>2.0833333333333332E-2</v>
      </c>
      <c r="AP32" s="46">
        <f>IF(K32&lt;&gt;"",TIME(,timecheck6(S32,T32,U32,V32,Y32,Z32,AA32,AB32,7),),TIME(,timecheck1(S32,T32,U32,V32,7),))</f>
        <v>8.3333333333333329E-2</v>
      </c>
      <c r="AQ32" s="46">
        <f t="shared" si="24"/>
        <v>0.20833333333333334</v>
      </c>
      <c r="AR32" s="44"/>
      <c r="AS32" s="46"/>
      <c r="AT32" s="57"/>
    </row>
    <row r="33" spans="1:46" ht="13.5">
      <c r="A33" s="54" t="str">
        <f t="shared" si="0"/>
        <v>A</v>
      </c>
      <c r="B33" s="54" t="str">
        <f>IF(H33&lt;&gt;"",IF(A33="A",HLOOKUP(H33,共通!$Q$4:$AO$11,7,FALSE),HLOOKUP(H33,共通!$Q$4:$AO$11,8,FALSE)),"")</f>
        <v/>
      </c>
      <c r="C33" s="54"/>
      <c r="D33" s="54">
        <v>0</v>
      </c>
      <c r="E33" s="38">
        <v>13</v>
      </c>
      <c r="F33" s="50">
        <v>5</v>
      </c>
      <c r="G33" s="39"/>
      <c r="H33" s="112"/>
      <c r="I33" s="110">
        <v>1000</v>
      </c>
      <c r="J33" s="110">
        <v>2000</v>
      </c>
      <c r="K33" s="156"/>
      <c r="L33" s="55" t="s">
        <v>249</v>
      </c>
      <c r="M33" s="157"/>
      <c r="N33" s="131">
        <v>1</v>
      </c>
      <c r="O33" s="111"/>
      <c r="P33" s="109"/>
      <c r="Q33" s="44">
        <f t="shared" si="1"/>
        <v>0.41666666666666669</v>
      </c>
      <c r="R33" s="44">
        <f t="shared" si="2"/>
        <v>0.83333333333333337</v>
      </c>
      <c r="S33" s="45">
        <f t="shared" si="3"/>
        <v>10</v>
      </c>
      <c r="T33" s="45">
        <f t="shared" si="4"/>
        <v>0</v>
      </c>
      <c r="U33" s="45">
        <f t="shared" si="5"/>
        <v>20</v>
      </c>
      <c r="V33" s="45">
        <f t="shared" si="6"/>
        <v>0</v>
      </c>
      <c r="W33" s="44" t="str">
        <f t="shared" si="7"/>
        <v/>
      </c>
      <c r="X33" s="44" t="str">
        <f t="shared" si="8"/>
        <v/>
      </c>
      <c r="Y33" s="45" t="str">
        <f t="shared" si="9"/>
        <v/>
      </c>
      <c r="Z33" s="45" t="str">
        <f t="shared" si="10"/>
        <v/>
      </c>
      <c r="AA33" s="45" t="str">
        <f t="shared" si="11"/>
        <v/>
      </c>
      <c r="AB33" s="45" t="str">
        <f t="shared" si="12"/>
        <v/>
      </c>
      <c r="AC33" s="44">
        <f>IF(AND(I33&lt;&gt;"",J33&lt;&gt;""),TIME(,timecheck1(S33,T33,U33,V33,17),),"")</f>
        <v>0.35416666666666669</v>
      </c>
      <c r="AD33" s="44">
        <f>IF(AND(I33&lt;&gt;"",J33&lt;&gt;""),TIME(,timecheck1(S33,T33,U33,V33,9),),"")</f>
        <v>0.29166666666666669</v>
      </c>
      <c r="AE33" s="44">
        <f>IF(AND(I33&lt;&gt;"",J33&lt;&gt;""),TIME(,timecheck1(S33,T33,U33,V33,0),),"")</f>
        <v>0</v>
      </c>
      <c r="AF33" s="44" t="str">
        <f t="shared" si="13"/>
        <v/>
      </c>
      <c r="AG33" s="56" t="str">
        <f t="shared" si="14"/>
        <v/>
      </c>
      <c r="AH33" s="56" t="str">
        <f t="shared" si="15"/>
        <v/>
      </c>
      <c r="AI33" s="44">
        <f t="shared" si="16"/>
        <v>6.25E-2</v>
      </c>
      <c r="AJ33" s="44">
        <f t="shared" si="17"/>
        <v>6.25E-2</v>
      </c>
      <c r="AK33" s="44">
        <f t="shared" si="18"/>
        <v>2.083333333333337E-2</v>
      </c>
      <c r="AL33" s="44" t="str">
        <f t="shared" si="19"/>
        <v/>
      </c>
      <c r="AM33" s="46">
        <f t="shared" si="20"/>
        <v>0.35416666666666669</v>
      </c>
      <c r="AN33" s="46">
        <f t="shared" si="21"/>
        <v>0.29166666666666669</v>
      </c>
      <c r="AO33" s="46">
        <f t="shared" si="22"/>
        <v>0</v>
      </c>
      <c r="AP33" s="46">
        <f t="shared" si="23"/>
        <v>8.3333333333333329E-2</v>
      </c>
      <c r="AQ33" s="46">
        <f t="shared" si="24"/>
        <v>0.20833333333333334</v>
      </c>
      <c r="AR33" s="44"/>
      <c r="AS33" s="46"/>
      <c r="AT33" s="57"/>
    </row>
    <row r="34" spans="1:46" ht="13.5">
      <c r="A34" s="54" t="str">
        <f t="shared" si="0"/>
        <v>A</v>
      </c>
      <c r="B34" s="54" t="str">
        <f>IF(H34&lt;&gt;"",IF(A34="A",HLOOKUP(H34,共通!$Q$4:$AO$11,7,FALSE),HLOOKUP(H34,共通!$Q$4:$AO$11,8,FALSE)),"")</f>
        <v>D</v>
      </c>
      <c r="C34" s="54"/>
      <c r="D34" s="54">
        <v>0</v>
      </c>
      <c r="E34" s="38">
        <v>14</v>
      </c>
      <c r="F34" s="50">
        <v>6</v>
      </c>
      <c r="G34" s="39"/>
      <c r="H34" s="112" t="s">
        <v>279</v>
      </c>
      <c r="I34" s="110"/>
      <c r="J34" s="110"/>
      <c r="K34" s="156"/>
      <c r="L34" s="55" t="s">
        <v>249</v>
      </c>
      <c r="M34" s="157"/>
      <c r="N34" s="131"/>
      <c r="O34" s="111"/>
      <c r="P34" s="109"/>
      <c r="Q34" s="44" t="str">
        <f t="shared" si="1"/>
        <v/>
      </c>
      <c r="R34" s="44" t="str">
        <f t="shared" si="2"/>
        <v/>
      </c>
      <c r="S34" s="45" t="str">
        <f t="shared" si="3"/>
        <v/>
      </c>
      <c r="T34" s="45" t="str">
        <f t="shared" si="4"/>
        <v/>
      </c>
      <c r="U34" s="45" t="str">
        <f t="shared" si="5"/>
        <v/>
      </c>
      <c r="V34" s="45" t="str">
        <f t="shared" si="6"/>
        <v/>
      </c>
      <c r="W34" s="44" t="str">
        <f t="shared" si="7"/>
        <v/>
      </c>
      <c r="X34" s="44" t="str">
        <f t="shared" si="8"/>
        <v/>
      </c>
      <c r="Y34" s="45" t="str">
        <f t="shared" si="9"/>
        <v/>
      </c>
      <c r="Z34" s="45" t="str">
        <f t="shared" si="10"/>
        <v/>
      </c>
      <c r="AA34" s="45" t="str">
        <f t="shared" si="11"/>
        <v/>
      </c>
      <c r="AB34" s="45" t="str">
        <f t="shared" si="12"/>
        <v/>
      </c>
      <c r="AC34" s="44" t="str">
        <f>IF(AND(I34&lt;&gt;"",J34&lt;&gt;""),TIME(,timecheck1(S34,T34,U34,V34,17),),"")</f>
        <v/>
      </c>
      <c r="AD34" s="44" t="str">
        <f>IF(AND(I34&lt;&gt;"",J34&lt;&gt;""),TIME(,timecheck1(S34,T34,U34,V34,9),),"")</f>
        <v/>
      </c>
      <c r="AE34" s="44" t="str">
        <f>IF(AND(I34&lt;&gt;"",J34&lt;&gt;""),TIME(,timecheck1(S34,T34,U34,V34,0),),"")</f>
        <v/>
      </c>
      <c r="AF34" s="44" t="str">
        <f t="shared" si="13"/>
        <v/>
      </c>
      <c r="AG34" s="56" t="str">
        <f t="shared" si="14"/>
        <v/>
      </c>
      <c r="AH34" s="56" t="str">
        <f t="shared" si="15"/>
        <v/>
      </c>
      <c r="AI34" s="44" t="str">
        <f t="shared" si="16"/>
        <v/>
      </c>
      <c r="AJ34" s="44" t="str">
        <f t="shared" si="17"/>
        <v/>
      </c>
      <c r="AK34" s="44" t="str">
        <f t="shared" si="18"/>
        <v/>
      </c>
      <c r="AL34" s="44" t="str">
        <f t="shared" si="19"/>
        <v/>
      </c>
      <c r="AM34" s="46" t="str">
        <f t="shared" si="20"/>
        <v/>
      </c>
      <c r="AN34" s="46" t="str">
        <f t="shared" si="21"/>
        <v/>
      </c>
      <c r="AO34" s="46" t="str">
        <f t="shared" si="22"/>
        <v/>
      </c>
      <c r="AP34" s="46" t="e">
        <f t="shared" si="23"/>
        <v>#VALUE!</v>
      </c>
      <c r="AQ34" s="46" t="e">
        <f t="shared" si="24"/>
        <v>#VALUE!</v>
      </c>
      <c r="AR34" s="44"/>
      <c r="AS34" s="46"/>
      <c r="AT34" s="57"/>
    </row>
    <row r="35" spans="1:46" ht="13.5">
      <c r="A35" s="54" t="str">
        <f t="shared" si="0"/>
        <v>A</v>
      </c>
      <c r="B35" s="54" t="str">
        <f>IF(H35&lt;&gt;"",IF(A35="A",HLOOKUP(H35,共通!$Q$4:$AO$11,7,FALSE),HLOOKUP(H35,共通!$Q$4:$AO$11,8,FALSE)),"")</f>
        <v/>
      </c>
      <c r="C35" s="54"/>
      <c r="D35" s="54">
        <v>0</v>
      </c>
      <c r="E35" s="38">
        <v>15</v>
      </c>
      <c r="F35" s="50">
        <v>7</v>
      </c>
      <c r="G35" s="39"/>
      <c r="H35" s="112"/>
      <c r="I35" s="110">
        <v>1000</v>
      </c>
      <c r="J35" s="110">
        <v>2000</v>
      </c>
      <c r="K35" s="156"/>
      <c r="L35" s="55" t="s">
        <v>249</v>
      </c>
      <c r="M35" s="157"/>
      <c r="N35" s="131">
        <v>1</v>
      </c>
      <c r="O35" s="111"/>
      <c r="P35" s="109"/>
      <c r="Q35" s="44">
        <f t="shared" si="1"/>
        <v>0.41666666666666669</v>
      </c>
      <c r="R35" s="44">
        <f t="shared" si="2"/>
        <v>0.83333333333333337</v>
      </c>
      <c r="S35" s="45">
        <f t="shared" si="3"/>
        <v>10</v>
      </c>
      <c r="T35" s="45">
        <f t="shared" si="4"/>
        <v>0</v>
      </c>
      <c r="U35" s="45">
        <f t="shared" si="5"/>
        <v>20</v>
      </c>
      <c r="V35" s="45">
        <f t="shared" si="6"/>
        <v>0</v>
      </c>
      <c r="W35" s="44" t="str">
        <f t="shared" si="7"/>
        <v/>
      </c>
      <c r="X35" s="44" t="str">
        <f t="shared" si="8"/>
        <v/>
      </c>
      <c r="Y35" s="45" t="str">
        <f t="shared" si="9"/>
        <v/>
      </c>
      <c r="Z35" s="45" t="str">
        <f t="shared" si="10"/>
        <v/>
      </c>
      <c r="AA35" s="45" t="str">
        <f t="shared" si="11"/>
        <v/>
      </c>
      <c r="AB35" s="45" t="str">
        <f t="shared" si="12"/>
        <v/>
      </c>
      <c r="AC35" s="44">
        <f>IF(AND(I35&lt;&gt;"",J35&lt;&gt;""),TIME(,timecheck1(S35,T35,U35,V35,17),),"")</f>
        <v>0.35416666666666669</v>
      </c>
      <c r="AD35" s="44">
        <f>IF(AND(I35&lt;&gt;"",J35&lt;&gt;""),TIME(,timecheck1(S35,T35,U35,V35,9),),"")</f>
        <v>0.29166666666666669</v>
      </c>
      <c r="AE35" s="44">
        <f>IF(AND(I35&lt;&gt;"",J35&lt;&gt;""),TIME(,timecheck1(S35,T35,U35,V35,0),),"")</f>
        <v>0</v>
      </c>
      <c r="AF35" s="44" t="str">
        <f t="shared" si="13"/>
        <v/>
      </c>
      <c r="AG35" s="56" t="str">
        <f t="shared" si="14"/>
        <v/>
      </c>
      <c r="AH35" s="56" t="str">
        <f t="shared" si="15"/>
        <v/>
      </c>
      <c r="AI35" s="44">
        <f t="shared" si="16"/>
        <v>6.25E-2</v>
      </c>
      <c r="AJ35" s="44">
        <f t="shared" si="17"/>
        <v>6.25E-2</v>
      </c>
      <c r="AK35" s="44">
        <f t="shared" si="18"/>
        <v>2.083333333333337E-2</v>
      </c>
      <c r="AL35" s="44" t="str">
        <f t="shared" si="19"/>
        <v/>
      </c>
      <c r="AM35" s="46">
        <f t="shared" si="20"/>
        <v>0.35416666666666669</v>
      </c>
      <c r="AN35" s="46">
        <f t="shared" si="21"/>
        <v>0.29166666666666669</v>
      </c>
      <c r="AO35" s="46">
        <f t="shared" si="22"/>
        <v>0</v>
      </c>
      <c r="AP35" s="46">
        <f t="shared" si="23"/>
        <v>8.3333333333333329E-2</v>
      </c>
      <c r="AQ35" s="46">
        <f t="shared" si="24"/>
        <v>0.20833333333333334</v>
      </c>
      <c r="AR35" s="44"/>
      <c r="AS35" s="46"/>
      <c r="AT35" s="57"/>
    </row>
    <row r="36" spans="1:46" ht="13.5">
      <c r="A36" s="54" t="str">
        <f t="shared" si="0"/>
        <v/>
      </c>
      <c r="B36" s="54" t="str">
        <f>IF(H36&lt;&gt;"",IF(A36="A",HLOOKUP(H36,共通!$Q$4:$AO$11,7,FALSE),HLOOKUP(H36,共通!$Q$4:$AO$11,8,FALSE)),"")</f>
        <v/>
      </c>
      <c r="C36" s="54"/>
      <c r="D36" s="54">
        <v>1</v>
      </c>
      <c r="E36" s="38">
        <v>16</v>
      </c>
      <c r="F36" s="50">
        <v>8</v>
      </c>
      <c r="G36" s="39"/>
      <c r="H36" s="112"/>
      <c r="I36" s="110"/>
      <c r="J36" s="110"/>
      <c r="K36" s="156"/>
      <c r="L36" s="55" t="s">
        <v>249</v>
      </c>
      <c r="M36" s="157"/>
      <c r="N36" s="131"/>
      <c r="O36" s="111"/>
      <c r="P36" s="109"/>
      <c r="Q36" s="44" t="str">
        <f t="shared" si="1"/>
        <v/>
      </c>
      <c r="R36" s="44" t="str">
        <f t="shared" si="2"/>
        <v/>
      </c>
      <c r="S36" s="45" t="str">
        <f t="shared" si="3"/>
        <v/>
      </c>
      <c r="T36" s="45" t="str">
        <f t="shared" si="4"/>
        <v/>
      </c>
      <c r="U36" s="45" t="str">
        <f t="shared" si="5"/>
        <v/>
      </c>
      <c r="V36" s="45" t="str">
        <f t="shared" si="6"/>
        <v/>
      </c>
      <c r="W36" s="44" t="str">
        <f t="shared" si="7"/>
        <v/>
      </c>
      <c r="X36" s="44" t="str">
        <f t="shared" si="8"/>
        <v/>
      </c>
      <c r="Y36" s="45" t="str">
        <f t="shared" si="9"/>
        <v/>
      </c>
      <c r="Z36" s="45" t="str">
        <f t="shared" si="10"/>
        <v/>
      </c>
      <c r="AA36" s="45" t="str">
        <f t="shared" si="11"/>
        <v/>
      </c>
      <c r="AB36" s="45" t="str">
        <f t="shared" si="12"/>
        <v/>
      </c>
      <c r="AC36" s="44" t="str">
        <f>IF(AND(I36&lt;&gt;"",J36&lt;&gt;""),TIME(,timecheck1(S36,T36,U36,V36,17),),"")</f>
        <v/>
      </c>
      <c r="AD36" s="44" t="str">
        <f>IF(AND(I36&lt;&gt;"",J36&lt;&gt;""),TIME(,timecheck1(S36,T36,U36,V36,9),),"")</f>
        <v/>
      </c>
      <c r="AE36" s="44" t="str">
        <f>IF(AND(I36&lt;&gt;"",J36&lt;&gt;""),TIME(,timecheck1(S36,T36,U36,V36,0),),"")</f>
        <v/>
      </c>
      <c r="AF36" s="44" t="str">
        <f t="shared" si="13"/>
        <v/>
      </c>
      <c r="AG36" s="56" t="str">
        <f t="shared" si="14"/>
        <v/>
      </c>
      <c r="AH36" s="56" t="str">
        <f t="shared" si="15"/>
        <v/>
      </c>
      <c r="AI36" s="44" t="str">
        <f t="shared" si="16"/>
        <v/>
      </c>
      <c r="AJ36" s="44" t="str">
        <f t="shared" si="17"/>
        <v/>
      </c>
      <c r="AK36" s="44" t="str">
        <f t="shared" si="18"/>
        <v/>
      </c>
      <c r="AL36" s="44" t="str">
        <f t="shared" si="19"/>
        <v/>
      </c>
      <c r="AM36" s="46" t="str">
        <f t="shared" si="20"/>
        <v/>
      </c>
      <c r="AN36" s="46" t="str">
        <f t="shared" si="21"/>
        <v/>
      </c>
      <c r="AO36" s="46" t="str">
        <f t="shared" si="22"/>
        <v/>
      </c>
      <c r="AP36" s="46" t="e">
        <f t="shared" si="23"/>
        <v>#VALUE!</v>
      </c>
      <c r="AQ36" s="46" t="e">
        <f t="shared" si="24"/>
        <v>#VALUE!</v>
      </c>
      <c r="AR36" s="44"/>
      <c r="AS36" s="46"/>
      <c r="AT36" s="57"/>
    </row>
    <row r="37" spans="1:46" ht="13.5">
      <c r="A37" s="54" t="str">
        <f t="shared" si="0"/>
        <v/>
      </c>
      <c r="B37" s="54" t="str">
        <f>IF(H37&lt;&gt;"",IF(A37="A",HLOOKUP(H37,共通!$Q$4:$AO$11,7,FALSE),HLOOKUP(H37,共通!$Q$4:$AO$11,8,FALSE)),"")</f>
        <v/>
      </c>
      <c r="C37" s="54"/>
      <c r="D37" s="54">
        <v>2</v>
      </c>
      <c r="E37" s="38">
        <v>17</v>
      </c>
      <c r="F37" s="50">
        <v>2</v>
      </c>
      <c r="G37" s="39"/>
      <c r="H37" s="112"/>
      <c r="I37" s="110"/>
      <c r="J37" s="110"/>
      <c r="K37" s="156"/>
      <c r="L37" s="55" t="s">
        <v>249</v>
      </c>
      <c r="M37" s="157"/>
      <c r="N37" s="131"/>
      <c r="O37" s="111"/>
      <c r="P37" s="109"/>
      <c r="Q37" s="44" t="str">
        <f t="shared" si="1"/>
        <v/>
      </c>
      <c r="R37" s="44" t="str">
        <f t="shared" si="2"/>
        <v/>
      </c>
      <c r="S37" s="45" t="str">
        <f t="shared" si="3"/>
        <v/>
      </c>
      <c r="T37" s="45" t="str">
        <f t="shared" si="4"/>
        <v/>
      </c>
      <c r="U37" s="45" t="str">
        <f t="shared" si="5"/>
        <v/>
      </c>
      <c r="V37" s="45" t="str">
        <f t="shared" si="6"/>
        <v/>
      </c>
      <c r="W37" s="44" t="str">
        <f t="shared" si="7"/>
        <v/>
      </c>
      <c r="X37" s="44" t="str">
        <f t="shared" si="8"/>
        <v/>
      </c>
      <c r="Y37" s="45" t="str">
        <f t="shared" si="9"/>
        <v/>
      </c>
      <c r="Z37" s="45" t="str">
        <f t="shared" si="10"/>
        <v/>
      </c>
      <c r="AA37" s="45" t="str">
        <f t="shared" si="11"/>
        <v/>
      </c>
      <c r="AB37" s="45" t="str">
        <f t="shared" si="12"/>
        <v/>
      </c>
      <c r="AC37" s="44" t="str">
        <f>IF(AND(I37&lt;&gt;"",J37&lt;&gt;""),TIME(,timecheck1(S37,T37,U37,V37,17),),"")</f>
        <v/>
      </c>
      <c r="AD37" s="44" t="str">
        <f>IF(AND(I37&lt;&gt;"",J37&lt;&gt;""),TIME(,timecheck1(S37,T37,U37,V37,9),),"")</f>
        <v/>
      </c>
      <c r="AE37" s="44" t="str">
        <f>IF(AND(I37&lt;&gt;"",J37&lt;&gt;""),TIME(,timecheck1(S37,T37,U37,V37,0),),"")</f>
        <v/>
      </c>
      <c r="AF37" s="44" t="str">
        <f t="shared" si="13"/>
        <v/>
      </c>
      <c r="AG37" s="56" t="str">
        <f t="shared" si="14"/>
        <v/>
      </c>
      <c r="AH37" s="56" t="str">
        <f t="shared" si="15"/>
        <v/>
      </c>
      <c r="AI37" s="44" t="str">
        <f t="shared" si="16"/>
        <v/>
      </c>
      <c r="AJ37" s="44" t="str">
        <f t="shared" si="17"/>
        <v/>
      </c>
      <c r="AK37" s="44" t="str">
        <f t="shared" si="18"/>
        <v/>
      </c>
      <c r="AL37" s="44" t="str">
        <f t="shared" si="19"/>
        <v/>
      </c>
      <c r="AM37" s="46" t="str">
        <f t="shared" si="20"/>
        <v/>
      </c>
      <c r="AN37" s="46" t="str">
        <f t="shared" si="21"/>
        <v/>
      </c>
      <c r="AO37" s="46" t="str">
        <f t="shared" si="22"/>
        <v/>
      </c>
      <c r="AP37" s="46" t="e">
        <f t="shared" si="23"/>
        <v>#VALUE!</v>
      </c>
      <c r="AQ37" s="46" t="e">
        <f t="shared" si="24"/>
        <v>#VALUE!</v>
      </c>
      <c r="AR37" s="44"/>
      <c r="AS37" s="46"/>
      <c r="AT37" s="57"/>
    </row>
    <row r="38" spans="1:46" ht="13.5">
      <c r="A38" s="54" t="str">
        <f t="shared" si="0"/>
        <v>A</v>
      </c>
      <c r="B38" s="54" t="str">
        <f>IF(H38&lt;&gt;"",IF(A38="A",HLOOKUP(H38,共通!$Q$4:$AO$11,7,FALSE),HLOOKUP(H38,共通!$Q$4:$AO$11,8,FALSE)),"")</f>
        <v>D</v>
      </c>
      <c r="C38" s="54"/>
      <c r="D38" s="54">
        <v>0</v>
      </c>
      <c r="E38" s="38">
        <v>18</v>
      </c>
      <c r="F38" s="50">
        <v>3</v>
      </c>
      <c r="G38" s="39"/>
      <c r="H38" s="112" t="s">
        <v>279</v>
      </c>
      <c r="I38" s="110"/>
      <c r="J38" s="110"/>
      <c r="K38" s="156"/>
      <c r="L38" s="55" t="s">
        <v>249</v>
      </c>
      <c r="M38" s="157"/>
      <c r="N38" s="131"/>
      <c r="O38" s="111"/>
      <c r="P38" s="109"/>
      <c r="Q38" s="44" t="str">
        <f t="shared" si="1"/>
        <v/>
      </c>
      <c r="R38" s="44" t="str">
        <f t="shared" si="2"/>
        <v/>
      </c>
      <c r="S38" s="45" t="str">
        <f t="shared" si="3"/>
        <v/>
      </c>
      <c r="T38" s="45" t="str">
        <f t="shared" si="4"/>
        <v/>
      </c>
      <c r="U38" s="45" t="str">
        <f t="shared" si="5"/>
        <v/>
      </c>
      <c r="V38" s="45" t="str">
        <f t="shared" si="6"/>
        <v/>
      </c>
      <c r="W38" s="44" t="str">
        <f t="shared" si="7"/>
        <v/>
      </c>
      <c r="X38" s="44" t="str">
        <f t="shared" si="8"/>
        <v/>
      </c>
      <c r="Y38" s="45" t="str">
        <f t="shared" si="9"/>
        <v/>
      </c>
      <c r="Z38" s="45" t="str">
        <f t="shared" si="10"/>
        <v/>
      </c>
      <c r="AA38" s="45" t="str">
        <f t="shared" si="11"/>
        <v/>
      </c>
      <c r="AB38" s="45" t="str">
        <f t="shared" si="12"/>
        <v/>
      </c>
      <c r="AC38" s="44" t="str">
        <f>IF(AND(I38&lt;&gt;"",J38&lt;&gt;""),TIME(,timecheck1(S38,T38,U38,V38,17),),"")</f>
        <v/>
      </c>
      <c r="AD38" s="44" t="str">
        <f>IF(AND(I38&lt;&gt;"",J38&lt;&gt;""),TIME(,timecheck1(S38,T38,U38,V38,9),),"")</f>
        <v/>
      </c>
      <c r="AE38" s="44" t="str">
        <f>IF(AND(I38&lt;&gt;"",J38&lt;&gt;""),TIME(,timecheck1(S38,T38,U38,V38,0),),"")</f>
        <v/>
      </c>
      <c r="AF38" s="44" t="str">
        <f t="shared" si="13"/>
        <v/>
      </c>
      <c r="AG38" s="56" t="str">
        <f t="shared" si="14"/>
        <v/>
      </c>
      <c r="AH38" s="56" t="str">
        <f t="shared" si="15"/>
        <v/>
      </c>
      <c r="AI38" s="44" t="str">
        <f t="shared" si="16"/>
        <v/>
      </c>
      <c r="AJ38" s="44" t="str">
        <f t="shared" si="17"/>
        <v/>
      </c>
      <c r="AK38" s="44" t="str">
        <f t="shared" si="18"/>
        <v/>
      </c>
      <c r="AL38" s="44" t="str">
        <f t="shared" si="19"/>
        <v/>
      </c>
      <c r="AM38" s="46" t="str">
        <f t="shared" si="20"/>
        <v/>
      </c>
      <c r="AN38" s="46" t="str">
        <f t="shared" si="21"/>
        <v/>
      </c>
      <c r="AO38" s="46" t="str">
        <f t="shared" si="22"/>
        <v/>
      </c>
      <c r="AP38" s="46" t="e">
        <f t="shared" si="23"/>
        <v>#VALUE!</v>
      </c>
      <c r="AQ38" s="46" t="e">
        <f t="shared" si="24"/>
        <v>#VALUE!</v>
      </c>
      <c r="AR38" s="44"/>
      <c r="AS38" s="46"/>
      <c r="AT38" s="57"/>
    </row>
    <row r="39" spans="1:46" ht="13.5">
      <c r="A39" s="54" t="str">
        <f t="shared" si="0"/>
        <v>A</v>
      </c>
      <c r="B39" s="54" t="str">
        <f>IF(H39&lt;&gt;"",IF(A39="A",HLOOKUP(H39,共通!$Q$4:$AO$11,7,FALSE),HLOOKUP(H39,共通!$Q$4:$AO$11,8,FALSE)),"")</f>
        <v/>
      </c>
      <c r="C39" s="54"/>
      <c r="D39" s="54">
        <v>0</v>
      </c>
      <c r="E39" s="38">
        <v>19</v>
      </c>
      <c r="F39" s="50">
        <v>4</v>
      </c>
      <c r="G39" s="39"/>
      <c r="H39" s="112"/>
      <c r="I39" s="110">
        <v>900</v>
      </c>
      <c r="J39" s="110">
        <v>2000</v>
      </c>
      <c r="K39" s="156"/>
      <c r="L39" s="55" t="s">
        <v>249</v>
      </c>
      <c r="M39" s="157"/>
      <c r="N39" s="131">
        <v>1</v>
      </c>
      <c r="O39" s="111"/>
      <c r="P39" s="109"/>
      <c r="Q39" s="44">
        <f t="shared" si="1"/>
        <v>0.375</v>
      </c>
      <c r="R39" s="44">
        <f t="shared" si="2"/>
        <v>0.83333333333333337</v>
      </c>
      <c r="S39" s="45">
        <f t="shared" si="3"/>
        <v>9</v>
      </c>
      <c r="T39" s="45">
        <f t="shared" si="4"/>
        <v>0</v>
      </c>
      <c r="U39" s="45">
        <f t="shared" si="5"/>
        <v>20</v>
      </c>
      <c r="V39" s="45">
        <f t="shared" si="6"/>
        <v>0</v>
      </c>
      <c r="W39" s="44" t="str">
        <f t="shared" si="7"/>
        <v/>
      </c>
      <c r="X39" s="44" t="str">
        <f t="shared" si="8"/>
        <v/>
      </c>
      <c r="Y39" s="45" t="str">
        <f t="shared" si="9"/>
        <v/>
      </c>
      <c r="Z39" s="45" t="str">
        <f t="shared" si="10"/>
        <v/>
      </c>
      <c r="AA39" s="45" t="str">
        <f t="shared" si="11"/>
        <v/>
      </c>
      <c r="AB39" s="45" t="str">
        <f t="shared" si="12"/>
        <v/>
      </c>
      <c r="AC39" s="44">
        <f>IF(AND(I39&lt;&gt;"",J39&lt;&gt;""),TIME(,timecheck1(S39,T39,U39,V39,17),),"")</f>
        <v>0.39583333333333331</v>
      </c>
      <c r="AD39" s="44">
        <f>IF(AND(I39&lt;&gt;"",J39&lt;&gt;""),TIME(,timecheck1(S39,T39,U39,V39,9),),"")</f>
        <v>0.33333333333333331</v>
      </c>
      <c r="AE39" s="44">
        <f>IF(AND(I39&lt;&gt;"",J39&lt;&gt;""),TIME(,timecheck1(S39,T39,U39,V39,0),),"")</f>
        <v>0</v>
      </c>
      <c r="AF39" s="44" t="str">
        <f t="shared" si="13"/>
        <v/>
      </c>
      <c r="AG39" s="56" t="str">
        <f t="shared" si="14"/>
        <v/>
      </c>
      <c r="AH39" s="56" t="str">
        <f t="shared" si="15"/>
        <v/>
      </c>
      <c r="AI39" s="44">
        <f t="shared" si="16"/>
        <v>6.25E-2</v>
      </c>
      <c r="AJ39" s="44">
        <f t="shared" si="17"/>
        <v>6.25E-2</v>
      </c>
      <c r="AK39" s="44">
        <f t="shared" si="18"/>
        <v>6.25E-2</v>
      </c>
      <c r="AL39" s="44" t="str">
        <f t="shared" si="19"/>
        <v/>
      </c>
      <c r="AM39" s="46">
        <f t="shared" si="20"/>
        <v>0.39583333333333331</v>
      </c>
      <c r="AN39" s="46">
        <f t="shared" si="21"/>
        <v>0.33333333333333331</v>
      </c>
      <c r="AO39" s="46">
        <f t="shared" si="22"/>
        <v>0</v>
      </c>
      <c r="AP39" s="46">
        <f t="shared" si="23"/>
        <v>0.125</v>
      </c>
      <c r="AQ39" s="46">
        <f t="shared" si="24"/>
        <v>0.20833333333333334</v>
      </c>
      <c r="AR39" s="44"/>
      <c r="AS39" s="46"/>
      <c r="AT39" s="57"/>
    </row>
    <row r="40" spans="1:46" ht="13.5">
      <c r="A40" s="54" t="str">
        <f t="shared" si="0"/>
        <v>A</v>
      </c>
      <c r="B40" s="54" t="str">
        <f>IF(H40&lt;&gt;"",IF(A40="A",HLOOKUP(H40,共通!$Q$4:$AO$11,7,FALSE),HLOOKUP(H40,共通!$Q$4:$AO$11,8,FALSE)),"")</f>
        <v>D</v>
      </c>
      <c r="C40" s="54"/>
      <c r="D40" s="54">
        <v>0</v>
      </c>
      <c r="E40" s="38">
        <v>20</v>
      </c>
      <c r="F40" s="50">
        <v>5</v>
      </c>
      <c r="G40" s="39"/>
      <c r="H40" s="112" t="s">
        <v>279</v>
      </c>
      <c r="I40" s="110"/>
      <c r="J40" s="110"/>
      <c r="K40" s="156"/>
      <c r="L40" s="55" t="s">
        <v>249</v>
      </c>
      <c r="M40" s="157"/>
      <c r="N40" s="131"/>
      <c r="O40" s="111"/>
      <c r="P40" s="147"/>
      <c r="Q40" s="44" t="str">
        <f t="shared" si="1"/>
        <v/>
      </c>
      <c r="R40" s="44" t="str">
        <f t="shared" si="2"/>
        <v/>
      </c>
      <c r="S40" s="45" t="str">
        <f t="shared" si="3"/>
        <v/>
      </c>
      <c r="T40" s="45" t="str">
        <f t="shared" si="4"/>
        <v/>
      </c>
      <c r="U40" s="45" t="str">
        <f t="shared" si="5"/>
        <v/>
      </c>
      <c r="V40" s="45" t="str">
        <f t="shared" si="6"/>
        <v/>
      </c>
      <c r="W40" s="44" t="str">
        <f t="shared" si="7"/>
        <v/>
      </c>
      <c r="X40" s="44" t="str">
        <f t="shared" si="8"/>
        <v/>
      </c>
      <c r="Y40" s="45" t="str">
        <f t="shared" si="9"/>
        <v/>
      </c>
      <c r="Z40" s="45" t="str">
        <f t="shared" si="10"/>
        <v/>
      </c>
      <c r="AA40" s="45" t="str">
        <f t="shared" si="11"/>
        <v/>
      </c>
      <c r="AB40" s="45" t="str">
        <f t="shared" si="12"/>
        <v/>
      </c>
      <c r="AC40" s="44" t="str">
        <f>IF(AND(I40&lt;&gt;"",J40&lt;&gt;""),TIME(,timecheck1(S40,T40,U40,V40,17),),"")</f>
        <v/>
      </c>
      <c r="AD40" s="44" t="str">
        <f>IF(AND(I40&lt;&gt;"",J40&lt;&gt;""),TIME(,timecheck1(S40,T40,U40,V40,9),),"")</f>
        <v/>
      </c>
      <c r="AE40" s="44" t="str">
        <f>IF(AND(I40&lt;&gt;"",J40&lt;&gt;""),TIME(,timecheck1(S40,T40,U40,V40,0),),"")</f>
        <v/>
      </c>
      <c r="AF40" s="44" t="str">
        <f t="shared" si="13"/>
        <v/>
      </c>
      <c r="AG40" s="56" t="str">
        <f t="shared" si="14"/>
        <v/>
      </c>
      <c r="AH40" s="56" t="str">
        <f t="shared" si="15"/>
        <v/>
      </c>
      <c r="AI40" s="44" t="str">
        <f t="shared" si="16"/>
        <v/>
      </c>
      <c r="AJ40" s="44" t="str">
        <f t="shared" si="17"/>
        <v/>
      </c>
      <c r="AK40" s="44" t="str">
        <f t="shared" si="18"/>
        <v/>
      </c>
      <c r="AL40" s="44" t="str">
        <f t="shared" si="19"/>
        <v/>
      </c>
      <c r="AM40" s="46" t="str">
        <f t="shared" si="20"/>
        <v/>
      </c>
      <c r="AN40" s="46" t="str">
        <f t="shared" si="21"/>
        <v/>
      </c>
      <c r="AO40" s="46" t="str">
        <f t="shared" si="22"/>
        <v/>
      </c>
      <c r="AP40" s="46" t="e">
        <f t="shared" si="23"/>
        <v>#VALUE!</v>
      </c>
      <c r="AQ40" s="46" t="e">
        <f t="shared" si="24"/>
        <v>#VALUE!</v>
      </c>
      <c r="AR40" s="44"/>
      <c r="AS40" s="46"/>
      <c r="AT40" s="57"/>
    </row>
    <row r="41" spans="1:46" ht="13.5">
      <c r="A41" s="54" t="str">
        <f t="shared" si="0"/>
        <v/>
      </c>
      <c r="B41" s="54" t="str">
        <f>IF(H41&lt;&gt;"",IF(A41="A",HLOOKUP(H41,共通!$Q$4:$AO$11,7,FALSE),HLOOKUP(H41,共通!$Q$4:$AO$11,8,FALSE)),"")</f>
        <v/>
      </c>
      <c r="C41" s="54"/>
      <c r="D41" s="54"/>
      <c r="E41" s="38"/>
      <c r="F41" s="50"/>
      <c r="G41" s="39"/>
      <c r="H41" s="112"/>
      <c r="I41" s="110"/>
      <c r="J41" s="110"/>
      <c r="K41" s="156"/>
      <c r="L41" s="55" t="s">
        <v>249</v>
      </c>
      <c r="M41" s="157"/>
      <c r="N41" s="131"/>
      <c r="O41" s="111"/>
      <c r="P41" s="109"/>
      <c r="Q41" s="44" t="str">
        <f t="shared" si="1"/>
        <v/>
      </c>
      <c r="R41" s="44" t="str">
        <f t="shared" si="2"/>
        <v/>
      </c>
      <c r="S41" s="45" t="str">
        <f t="shared" si="3"/>
        <v/>
      </c>
      <c r="T41" s="45" t="str">
        <f t="shared" si="4"/>
        <v/>
      </c>
      <c r="U41" s="45" t="str">
        <f t="shared" si="5"/>
        <v/>
      </c>
      <c r="V41" s="45" t="str">
        <f t="shared" si="6"/>
        <v/>
      </c>
      <c r="W41" s="44" t="str">
        <f t="shared" si="7"/>
        <v/>
      </c>
      <c r="X41" s="44" t="str">
        <f t="shared" si="8"/>
        <v/>
      </c>
      <c r="Y41" s="45" t="str">
        <f t="shared" si="9"/>
        <v/>
      </c>
      <c r="Z41" s="45" t="str">
        <f t="shared" si="10"/>
        <v/>
      </c>
      <c r="AA41" s="45" t="str">
        <f t="shared" si="11"/>
        <v/>
      </c>
      <c r="AB41" s="45" t="str">
        <f t="shared" si="12"/>
        <v/>
      </c>
      <c r="AC41" s="44" t="str">
        <f>IF(AND(I41&lt;&gt;"",J41&lt;&gt;""),TIME(,timecheck1(S41,T41,U41,V41,17),),"")</f>
        <v/>
      </c>
      <c r="AD41" s="44" t="str">
        <f>IF(AND(I41&lt;&gt;"",J41&lt;&gt;""),TIME(,timecheck1(S41,T41,U41,V41,9),),"")</f>
        <v/>
      </c>
      <c r="AE41" s="44" t="str">
        <f>IF(AND(I41&lt;&gt;"",J41&lt;&gt;""),TIME(,timecheck1(S41,T41,U41,V41,0),),"")</f>
        <v/>
      </c>
      <c r="AF41" s="44" t="str">
        <f t="shared" si="13"/>
        <v/>
      </c>
      <c r="AG41" s="56" t="str">
        <f t="shared" si="14"/>
        <v/>
      </c>
      <c r="AH41" s="56" t="str">
        <f t="shared" si="15"/>
        <v/>
      </c>
      <c r="AI41" s="44" t="str">
        <f t="shared" si="16"/>
        <v/>
      </c>
      <c r="AJ41" s="44" t="str">
        <f t="shared" si="17"/>
        <v/>
      </c>
      <c r="AK41" s="44" t="str">
        <f t="shared" si="18"/>
        <v/>
      </c>
      <c r="AL41" s="44" t="str">
        <f t="shared" si="19"/>
        <v/>
      </c>
      <c r="AM41" s="46" t="str">
        <f t="shared" si="20"/>
        <v/>
      </c>
      <c r="AN41" s="46" t="str">
        <f t="shared" si="21"/>
        <v/>
      </c>
      <c r="AO41" s="46" t="str">
        <f t="shared" si="22"/>
        <v/>
      </c>
      <c r="AP41" s="46" t="e">
        <f t="shared" si="23"/>
        <v>#VALUE!</v>
      </c>
      <c r="AQ41" s="46" t="e">
        <f t="shared" si="24"/>
        <v>#VALUE!</v>
      </c>
      <c r="AR41" s="44"/>
      <c r="AS41" s="46"/>
      <c r="AT41" s="57"/>
    </row>
    <row r="42" spans="1:46" ht="14.25" thickBot="1"/>
    <row r="43" spans="1:46" ht="13.5">
      <c r="E43" s="115" t="s">
        <v>251</v>
      </c>
      <c r="F43" s="116"/>
      <c r="G43" s="116"/>
      <c r="H43" s="116"/>
      <c r="I43" s="117"/>
      <c r="J43" s="158">
        <f>COUNTIF(A11:A41,"A")-COUNTIF(N11:N41,0)</f>
        <v>18</v>
      </c>
      <c r="K43" s="118" t="s">
        <v>54</v>
      </c>
      <c r="L43" s="9"/>
      <c r="M43" s="275" t="s">
        <v>185</v>
      </c>
      <c r="N43" s="275"/>
      <c r="O43" s="133">
        <f>J45*TIME(8,0,0)</f>
        <v>6</v>
      </c>
      <c r="AF43" s="59" t="s">
        <v>13</v>
      </c>
      <c r="AI43" s="60" t="s">
        <v>14</v>
      </c>
      <c r="AJ43" s="58"/>
      <c r="AK43" s="60" t="s">
        <v>12</v>
      </c>
      <c r="AL43" s="60" t="s">
        <v>11</v>
      </c>
      <c r="AM43" s="61" t="s">
        <v>15</v>
      </c>
      <c r="AN43" s="58"/>
      <c r="AO43" s="58"/>
      <c r="AP43" s="58"/>
      <c r="AQ43" s="58"/>
      <c r="AR43" s="58"/>
      <c r="AS43" s="58"/>
    </row>
    <row r="44" spans="1:46" ht="13.5">
      <c r="E44" s="119" t="s">
        <v>56</v>
      </c>
      <c r="F44" s="120"/>
      <c r="G44" s="120"/>
      <c r="H44" s="120"/>
      <c r="I44" s="121"/>
      <c r="J44" s="122">
        <f>J43-COUNTIF(B11:B41,"F")</f>
        <v>18</v>
      </c>
      <c r="K44" s="123" t="s">
        <v>54</v>
      </c>
      <c r="M44" s="276" t="s">
        <v>186</v>
      </c>
      <c r="N44" s="276"/>
      <c r="O44" s="129">
        <f>SUM(AM11:AM41)</f>
        <v>7.0972222222222223</v>
      </c>
      <c r="P44" s="150"/>
      <c r="AF44" s="62">
        <f>COUNTIF($B$11:$B$41,"H")</f>
        <v>0</v>
      </c>
      <c r="AI44" s="63">
        <f>COUNTIF($B$11:$B$41,"I")+COUNTIF($B$11:$B$41,"K")+COUNTIF($B$11:$B$41,"M")</f>
        <v>3</v>
      </c>
      <c r="AJ44" s="58"/>
      <c r="AK44" s="63">
        <f>COUNTIF($B$11:$B$41,"D")</f>
        <v>3</v>
      </c>
      <c r="AL44" s="63">
        <f>COUNTIF($B$11:$B$41,"C")</f>
        <v>0</v>
      </c>
      <c r="AM44" s="64">
        <f>COUNTIF($B$11:$B$41,"B")+COUNTIF($B$11:$B$41,"I")</f>
        <v>0</v>
      </c>
      <c r="AN44" s="58"/>
      <c r="AO44" s="58"/>
      <c r="AP44" s="58"/>
      <c r="AQ44" s="58"/>
      <c r="AR44" s="58"/>
      <c r="AS44" s="58"/>
    </row>
    <row r="45" spans="1:46" ht="13.5">
      <c r="E45" s="119" t="s">
        <v>55</v>
      </c>
      <c r="F45" s="120"/>
      <c r="G45" s="120"/>
      <c r="H45" s="120"/>
      <c r="I45" s="121"/>
      <c r="J45" s="122">
        <f>J44-COUNTIF(B11:B41,"C")</f>
        <v>18</v>
      </c>
      <c r="K45" s="123" t="s">
        <v>54</v>
      </c>
      <c r="M45" s="276" t="s">
        <v>187</v>
      </c>
      <c r="N45" s="276"/>
      <c r="O45" s="129">
        <f>SUM(AK11:AK41)</f>
        <v>1.0972222222222228</v>
      </c>
      <c r="AF45" s="65" t="s">
        <v>16</v>
      </c>
      <c r="AI45" s="66" t="s">
        <v>17</v>
      </c>
      <c r="AJ45" s="58"/>
      <c r="AK45" s="66" t="s">
        <v>18</v>
      </c>
      <c r="AL45" s="66" t="s">
        <v>19</v>
      </c>
      <c r="AM45" s="67" t="s">
        <v>98</v>
      </c>
      <c r="AN45" s="58"/>
      <c r="AO45" s="58"/>
      <c r="AP45" s="58"/>
      <c r="AQ45" s="58"/>
      <c r="AR45" s="58"/>
      <c r="AS45" s="58"/>
    </row>
    <row r="46" spans="1:46" ht="13.5">
      <c r="E46" s="119" t="s">
        <v>52</v>
      </c>
      <c r="F46" s="120"/>
      <c r="G46" s="120"/>
      <c r="H46" s="120"/>
      <c r="I46" s="121"/>
      <c r="J46" s="122">
        <f>COUNTA(I11:I41)</f>
        <v>18</v>
      </c>
      <c r="K46" s="123" t="s">
        <v>54</v>
      </c>
      <c r="M46" s="277" t="s">
        <v>188</v>
      </c>
      <c r="N46" s="278"/>
      <c r="O46" s="129">
        <f>SUM(AL11:AL41)</f>
        <v>0</v>
      </c>
      <c r="P46" s="159" t="s">
        <v>278</v>
      </c>
      <c r="V46" s="10"/>
      <c r="W46" s="9"/>
      <c r="AF46" s="62">
        <f>COUNTIF($H$11:$H$41,AF45)</f>
        <v>0</v>
      </c>
      <c r="AI46" s="63">
        <f>COUNTIF($H$11:$H$41,AI45)</f>
        <v>0</v>
      </c>
      <c r="AJ46" s="58"/>
      <c r="AK46" s="63">
        <f>COUNTIF($H$11:$H$41,AK45)</f>
        <v>0</v>
      </c>
      <c r="AL46" s="63">
        <f>COUNTIF($H$11:$H$41,AL45)</f>
        <v>0</v>
      </c>
      <c r="AM46" s="64">
        <f>COUNTIF($H$11:$H$41,AM45)</f>
        <v>0</v>
      </c>
      <c r="AN46" s="58"/>
    </row>
    <row r="47" spans="1:46" ht="13.5">
      <c r="E47" s="119" t="s">
        <v>207</v>
      </c>
      <c r="F47" s="120"/>
      <c r="G47" s="120"/>
      <c r="H47" s="120"/>
      <c r="I47" s="121"/>
      <c r="J47" s="122">
        <f>SUM(AL44,AE46:AL46,AF48:AM48)</f>
        <v>0</v>
      </c>
      <c r="K47" s="123" t="s">
        <v>68</v>
      </c>
      <c r="M47" s="274" t="s">
        <v>184</v>
      </c>
      <c r="N47" s="274"/>
      <c r="O47" s="130">
        <f>SUM(AO11:AO41)</f>
        <v>0.28472222222222221</v>
      </c>
      <c r="AF47" s="65" t="s">
        <v>20</v>
      </c>
      <c r="AI47" s="66" t="s">
        <v>24</v>
      </c>
      <c r="AJ47" s="58"/>
      <c r="AK47" s="66" t="s">
        <v>22</v>
      </c>
      <c r="AL47" s="66" t="s">
        <v>23</v>
      </c>
      <c r="AM47" s="67" t="s">
        <v>21</v>
      </c>
      <c r="AN47" s="58"/>
      <c r="AO47" s="58"/>
      <c r="AP47" s="58"/>
      <c r="AQ47" s="58"/>
      <c r="AR47" s="58"/>
      <c r="AS47" s="58"/>
    </row>
    <row r="48" spans="1:46" ht="13.5">
      <c r="E48" s="119" t="s">
        <v>53</v>
      </c>
      <c r="F48" s="120"/>
      <c r="G48" s="120"/>
      <c r="H48" s="120"/>
      <c r="I48" s="121"/>
      <c r="J48" s="122">
        <f>COUNTIF(B11:B41,"B")+COUNTIF(B11:B41,"D")/2+COUNTIF(B11:B41,"H")+COUNTIF(B11:B41,"I")/2+COUNTIF(B11:B41,"K")/2+COUNTIF(B11:B41,"M")</f>
        <v>3</v>
      </c>
      <c r="K48" s="123" t="s">
        <v>68</v>
      </c>
      <c r="N48" s="8"/>
      <c r="AF48" s="68">
        <f>COUNTIF($H$11:$H$41,AF47)</f>
        <v>0</v>
      </c>
      <c r="AI48" s="69">
        <f>COUNTIF($H$11:$H$41,AI47)</f>
        <v>0</v>
      </c>
      <c r="AJ48" s="58"/>
      <c r="AK48" s="69">
        <f>COUNTIF($H$11:$H$41,AK47)</f>
        <v>0</v>
      </c>
      <c r="AL48" s="69">
        <f>COUNTIF($H$11:$H$41,AL47)</f>
        <v>0</v>
      </c>
      <c r="AM48" s="70">
        <f>COUNTIF($H$11:$H$41,AM47)</f>
        <v>0</v>
      </c>
      <c r="AN48" s="58"/>
      <c r="AO48" s="58"/>
      <c r="AP48" s="58"/>
      <c r="AQ48" s="58"/>
      <c r="AR48" s="58"/>
      <c r="AS48" s="58"/>
    </row>
    <row r="49" spans="5:45" ht="14.25" thickBot="1">
      <c r="E49" s="124" t="s">
        <v>67</v>
      </c>
      <c r="F49" s="125"/>
      <c r="G49" s="125"/>
      <c r="H49" s="125"/>
      <c r="I49" s="126"/>
      <c r="J49" s="127">
        <f>COUNTA(O11:O41)</f>
        <v>0</v>
      </c>
      <c r="K49" s="128" t="s">
        <v>68</v>
      </c>
      <c r="N49" s="8"/>
      <c r="AN49" s="58"/>
      <c r="AO49" s="58"/>
      <c r="AP49" s="58"/>
      <c r="AQ49" s="58"/>
      <c r="AR49" s="58"/>
      <c r="AS49" s="58"/>
    </row>
    <row r="50" spans="5:45" ht="9.9499999999999993" customHeight="1">
      <c r="N50" s="8"/>
    </row>
    <row r="51" spans="5:45" ht="9.9499999999999993" customHeight="1"/>
  </sheetData>
  <sheetProtection password="CAEC" sheet="1" objects="1" scenarios="1"/>
  <mergeCells count="24">
    <mergeCell ref="AK8:AL8"/>
    <mergeCell ref="N2:O2"/>
    <mergeCell ref="N3:O3"/>
    <mergeCell ref="N4:O4"/>
    <mergeCell ref="E2:F2"/>
    <mergeCell ref="E3:F3"/>
    <mergeCell ref="E4:F4"/>
    <mergeCell ref="H2:M2"/>
    <mergeCell ref="H3:M3"/>
    <mergeCell ref="H4:M4"/>
    <mergeCell ref="E8:F8"/>
    <mergeCell ref="N8:P8"/>
    <mergeCell ref="E5:F5"/>
    <mergeCell ref="H5:M5"/>
    <mergeCell ref="N5:O5"/>
    <mergeCell ref="E6:F6"/>
    <mergeCell ref="H6:M6"/>
    <mergeCell ref="N6:O6"/>
    <mergeCell ref="K10:M10"/>
    <mergeCell ref="M47:N47"/>
    <mergeCell ref="M43:N43"/>
    <mergeCell ref="M44:N44"/>
    <mergeCell ref="M45:N45"/>
    <mergeCell ref="M46:N46"/>
  </mergeCells>
  <phoneticPr fontId="1"/>
  <conditionalFormatting sqref="E11:AS41">
    <cfRule type="expression" dxfId="6" priority="1" stopIfTrue="1">
      <formula>$D11&lt;&gt;0</formula>
    </cfRule>
  </conditionalFormatting>
  <conditionalFormatting sqref="AI46">
    <cfRule type="cellIs" dxfId="5" priority="2" stopIfTrue="1" operator="greaterThan">
      <formula>7</formula>
    </cfRule>
  </conditionalFormatting>
  <conditionalFormatting sqref="AL46">
    <cfRule type="cellIs" dxfId="4" priority="3" stopIfTrue="1" operator="greaterThan">
      <formula>5</formula>
    </cfRule>
    <cfRule type="cellIs" dxfId="3" priority="4" stopIfTrue="1" operator="greaterThan">
      <formula>2</formula>
    </cfRule>
  </conditionalFormatting>
  <conditionalFormatting sqref="AK46">
    <cfRule type="cellIs" dxfId="2" priority="5" stopIfTrue="1" operator="greaterThan">
      <formula>2</formula>
    </cfRule>
  </conditionalFormatting>
  <conditionalFormatting sqref="AM46">
    <cfRule type="cellIs" dxfId="1" priority="6" stopIfTrue="1" operator="greaterThan">
      <formula>5</formula>
    </cfRule>
  </conditionalFormatting>
  <conditionalFormatting sqref="AI44 AK44">
    <cfRule type="expression" dxfId="0" priority="7" stopIfTrue="1">
      <formula>($AI$44&lt;&gt;$AK$44)</formula>
    </cfRule>
  </conditionalFormatting>
  <dataValidations count="8">
    <dataValidation type="whole" allowBlank="1" showInputMessage="1" showErrorMessage="1" sqref="O11:O41">
      <formula1>1</formula1>
      <formula2>999999</formula2>
    </dataValidation>
    <dataValidation type="list" allowBlank="1" showInputMessage="1" showErrorMessage="1" sqref="H11:H41">
      <formula1>"休出,振出,振休,年休,特勤,振出・特勤,直行,直帰,直行・直帰,振出・直行,振出・直行・直帰,振出・直帰,休出・直行,休出・直行・直帰,休出・直帰,結婚,出産,忌引,リフレッシュ,赴任,産前産後,生理,育児,介護,欠勤"</formula1>
    </dataValidation>
    <dataValidation type="list" allowBlank="1" showInputMessage="1" showErrorMessage="1" sqref="I8">
      <formula1>"1,2,3,4,5,6,7,8,9,10,11,12"</formula1>
    </dataValidation>
    <dataValidation type="whole" allowBlank="1" showInputMessage="1" showErrorMessage="1" error="「 1 」から「 4 」のいずれかの値を入力してください" sqref="N11:N41">
      <formula1>0</formula1>
      <formula2>4</formula2>
    </dataValidation>
    <dataValidation type="whole" operator="equal" allowBlank="1" showInputMessage="1" showErrorMessage="1" error="「 1 」を入力してください" sqref="E3:F3">
      <formula1>1</formula1>
    </dataValidation>
    <dataValidation type="whole" operator="equal" allowBlank="1" showInputMessage="1" showErrorMessage="1" error="「 2 」を入力してください" sqref="E4:F4">
      <formula1>2</formula1>
    </dataValidation>
    <dataValidation type="whole" operator="equal" allowBlank="1" showInputMessage="1" showErrorMessage="1" error="「 2 」を入力してください" sqref="E5:F5">
      <formula1>3</formula1>
    </dataValidation>
    <dataValidation type="whole" operator="equal" allowBlank="1" showInputMessage="1" showErrorMessage="1" error="「 2 」を入力してください" sqref="E6:F6">
      <formula1>4</formula1>
    </dataValidation>
  </dataValidations>
  <pageMargins left="2.3622047244094486" right="0.39370078740157477" top="0.55118110236220474" bottom="0.23622047244094491" header="0.9055118110236221" footer="0.31496062992125984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29" r:id="rId4" name="CommandButton1">
          <controlPr defaultSize="0" autoLine="0" r:id="rId5">
            <anchor moveWithCells="1">
              <from>
                <xdr:col>15</xdr:col>
                <xdr:colOff>114300</xdr:colOff>
                <xdr:row>42</xdr:row>
                <xdr:rowOff>0</xdr:rowOff>
              </from>
              <to>
                <xdr:col>15</xdr:col>
                <xdr:colOff>1238250</xdr:colOff>
                <xdr:row>44</xdr:row>
                <xdr:rowOff>104775</xdr:rowOff>
              </to>
            </anchor>
          </controlPr>
        </control>
      </mc:Choice>
      <mc:Fallback>
        <control shapeId="99329" r:id="rId4" name="CommandButton1"/>
      </mc:Fallback>
    </mc:AlternateContent>
    <mc:AlternateContent xmlns:mc="http://schemas.openxmlformats.org/markup-compatibility/2006">
      <mc:Choice Requires="x14">
        <control shapeId="99330" r:id="rId6" name="CheckBox1">
          <controlPr defaultSize="0" autoLine="0" r:id="rId7">
            <anchor moveWithCells="1">
              <from>
                <xdr:col>36</xdr:col>
                <xdr:colOff>95250</xdr:colOff>
                <xdr:row>0</xdr:row>
                <xdr:rowOff>28575</xdr:rowOff>
              </from>
              <to>
                <xdr:col>45</xdr:col>
                <xdr:colOff>971550</xdr:colOff>
                <xdr:row>2</xdr:row>
                <xdr:rowOff>38100</xdr:rowOff>
              </to>
            </anchor>
          </controlPr>
        </control>
      </mc:Choice>
      <mc:Fallback>
        <control shapeId="99330" r:id="rId6" name="CheckBox1"/>
      </mc:Fallback>
    </mc:AlternateContent>
    <mc:AlternateContent xmlns:mc="http://schemas.openxmlformats.org/markup-compatibility/2006">
      <mc:Choice Requires="x14">
        <control shapeId="99331" r:id="rId8" name="CheckBox2">
          <controlPr defaultSize="0" autoLine="0" r:id="rId9">
            <anchor moveWithCells="1">
              <from>
                <xdr:col>36</xdr:col>
                <xdr:colOff>95250</xdr:colOff>
                <xdr:row>3</xdr:row>
                <xdr:rowOff>0</xdr:rowOff>
              </from>
              <to>
                <xdr:col>45</xdr:col>
                <xdr:colOff>971550</xdr:colOff>
                <xdr:row>4</xdr:row>
                <xdr:rowOff>104775</xdr:rowOff>
              </to>
            </anchor>
          </controlPr>
        </control>
      </mc:Choice>
      <mc:Fallback>
        <control shapeId="99331" r:id="rId8" name="CheckBox2"/>
      </mc:Fallback>
    </mc:AlternateContent>
    <mc:AlternateContent xmlns:mc="http://schemas.openxmlformats.org/markup-compatibility/2006">
      <mc:Choice Requires="x14">
        <control shapeId="99332" r:id="rId10" name="CheckBox3">
          <controlPr defaultSize="0" autoLine="0" r:id="rId11">
            <anchor moveWithCells="1">
              <from>
                <xdr:col>36</xdr:col>
                <xdr:colOff>95250</xdr:colOff>
                <xdr:row>1</xdr:row>
                <xdr:rowOff>133350</xdr:rowOff>
              </from>
              <to>
                <xdr:col>45</xdr:col>
                <xdr:colOff>971550</xdr:colOff>
                <xdr:row>3</xdr:row>
                <xdr:rowOff>66675</xdr:rowOff>
              </to>
            </anchor>
          </controlPr>
        </control>
      </mc:Choice>
      <mc:Fallback>
        <control shapeId="99332" r:id="rId10" name="CheckBox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5:C27"/>
  <sheetViews>
    <sheetView workbookViewId="0">
      <selection activeCell="C12" sqref="C12"/>
    </sheetView>
  </sheetViews>
  <sheetFormatPr defaultRowHeight="13.5"/>
  <cols>
    <col min="3" max="3" width="86.5" customWidth="1"/>
  </cols>
  <sheetData>
    <row r="5" spans="2:3">
      <c r="B5" s="148" t="s">
        <v>255</v>
      </c>
      <c r="C5" s="148" t="s">
        <v>256</v>
      </c>
    </row>
    <row r="6" spans="2:3" ht="81">
      <c r="B6" s="149">
        <v>1</v>
      </c>
      <c r="C6" s="151" t="s">
        <v>257</v>
      </c>
    </row>
    <row r="7" spans="2:3" ht="81">
      <c r="B7" s="149">
        <v>1.1000000000000001</v>
      </c>
      <c r="C7" s="151" t="s">
        <v>258</v>
      </c>
    </row>
    <row r="8" spans="2:3">
      <c r="B8" s="149">
        <v>1.2</v>
      </c>
      <c r="C8" s="148" t="s">
        <v>259</v>
      </c>
    </row>
    <row r="9" spans="2:3" ht="67.5">
      <c r="B9" s="149">
        <v>1.3</v>
      </c>
      <c r="C9" s="151" t="s">
        <v>260</v>
      </c>
    </row>
    <row r="10" spans="2:3" ht="27">
      <c r="B10" s="149">
        <v>1.4</v>
      </c>
      <c r="C10" s="151" t="s">
        <v>261</v>
      </c>
    </row>
    <row r="11" spans="2:3" ht="40.5">
      <c r="B11" s="149">
        <v>1.5</v>
      </c>
      <c r="C11" s="151" t="s">
        <v>263</v>
      </c>
    </row>
    <row r="12" spans="2:3">
      <c r="B12" s="149"/>
      <c r="C12" s="148"/>
    </row>
    <row r="13" spans="2:3">
      <c r="B13" s="149"/>
      <c r="C13" s="148"/>
    </row>
    <row r="14" spans="2:3">
      <c r="B14" s="149"/>
      <c r="C14" s="148"/>
    </row>
    <row r="15" spans="2:3">
      <c r="B15" s="149"/>
      <c r="C15" s="148"/>
    </row>
    <row r="16" spans="2:3">
      <c r="B16" s="149"/>
      <c r="C16" s="148"/>
    </row>
    <row r="17" spans="2:3">
      <c r="B17" s="149"/>
      <c r="C17" s="148"/>
    </row>
    <row r="18" spans="2:3">
      <c r="B18" s="148"/>
      <c r="C18" s="148"/>
    </row>
    <row r="19" spans="2:3">
      <c r="B19" s="148"/>
      <c r="C19" s="148"/>
    </row>
    <row r="20" spans="2:3">
      <c r="B20" s="148"/>
      <c r="C20" s="148"/>
    </row>
    <row r="21" spans="2:3">
      <c r="B21" s="148"/>
      <c r="C21" s="148"/>
    </row>
    <row r="22" spans="2:3">
      <c r="B22" s="148"/>
      <c r="C22" s="148"/>
    </row>
    <row r="23" spans="2:3">
      <c r="B23" s="148"/>
      <c r="C23" s="148"/>
    </row>
    <row r="24" spans="2:3">
      <c r="B24" s="148"/>
      <c r="C24" s="148"/>
    </row>
    <row r="25" spans="2:3">
      <c r="B25" s="148"/>
      <c r="C25" s="148"/>
    </row>
    <row r="26" spans="2:3">
      <c r="B26" s="148"/>
      <c r="C26" s="148"/>
    </row>
    <row r="27" spans="2:3">
      <c r="B27" s="148"/>
      <c r="C27" s="148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共通</vt:lpstr>
      <vt:lpstr>チェック内容</vt:lpstr>
      <vt:lpstr>印刷用</vt:lpstr>
      <vt:lpstr>入力用</vt:lpstr>
      <vt:lpstr>バージョン</vt:lpstr>
      <vt:lpstr>入力用!pdate</vt:lpstr>
      <vt:lpstr>入力用!pdayarea</vt:lpstr>
      <vt:lpstr>入力用!pmonth</vt:lpstr>
      <vt:lpstr>印刷用!Print_Area</vt:lpstr>
      <vt:lpstr>入力用!pyear</vt:lpstr>
    </vt:vector>
  </TitlesOfParts>
  <Company>ＮＴＴ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honda</dc:creator>
  <cp:lastModifiedBy>勝俣　太陽</cp:lastModifiedBy>
  <cp:lastPrinted>2020-03-23T00:51:35Z</cp:lastPrinted>
  <dcterms:created xsi:type="dcterms:W3CDTF">1997-05-19T15:42:48Z</dcterms:created>
  <dcterms:modified xsi:type="dcterms:W3CDTF">2020-05-21T01:20:49Z</dcterms:modified>
</cp:coreProperties>
</file>